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ta.MariaSystem\src\UI-Admin\contents\sf9\"/>
    </mc:Choice>
  </mc:AlternateContent>
  <xr:revisionPtr revIDLastSave="0" documentId="13_ncr:1_{12ED1660-5F5C-4650-8E03-600BC63FE36F}" xr6:coauthVersionLast="47" xr6:coauthVersionMax="47" xr10:uidLastSave="{00000000-0000-0000-0000-000000000000}"/>
  <bookViews>
    <workbookView xWindow="-108" yWindow="-108" windowWidth="23256" windowHeight="13896" tabRatio="865" activeTab="1" xr2:uid="{00000000-000D-0000-FFFF-FFFF00000000}"/>
  </bookViews>
  <sheets>
    <sheet name="FRONT" sheetId="149" r:id="rId1"/>
    <sheet name="BACK" sheetId="150" r:id="rId2"/>
  </sheets>
  <definedNames>
    <definedName name="data">#REF!</definedName>
    <definedName name="_xlnm.Print_Area" localSheetId="1">BACK!$A$3:$AB$29</definedName>
    <definedName name="_xlnm.Print_Area" localSheetId="0">FRONT!$A$3:$V$40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50" l="1"/>
  <c r="D22" i="150"/>
  <c r="M21" i="150"/>
  <c r="L21" i="150"/>
  <c r="K21" i="150"/>
  <c r="J21" i="150"/>
  <c r="I21" i="150"/>
  <c r="H21" i="150"/>
  <c r="G21" i="150"/>
  <c r="F21" i="150"/>
  <c r="E21" i="150"/>
  <c r="D21" i="150"/>
  <c r="M20" i="150"/>
  <c r="L20" i="150"/>
  <c r="K20" i="150"/>
  <c r="J20" i="150"/>
  <c r="I20" i="150"/>
  <c r="H20" i="150"/>
  <c r="G20" i="150"/>
  <c r="F20" i="150"/>
  <c r="E20" i="150"/>
  <c r="D20" i="150"/>
  <c r="M19" i="150"/>
  <c r="L19" i="150"/>
  <c r="K19" i="150"/>
  <c r="J19" i="150"/>
  <c r="I19" i="150"/>
  <c r="H19" i="150"/>
  <c r="G19" i="150"/>
  <c r="F19" i="150"/>
  <c r="E19" i="150"/>
  <c r="D19" i="150"/>
  <c r="M18" i="150"/>
  <c r="L18" i="150"/>
  <c r="K18" i="150"/>
  <c r="J18" i="150"/>
  <c r="I18" i="150"/>
  <c r="H18" i="150"/>
  <c r="G18" i="150"/>
  <c r="F18" i="150"/>
  <c r="E18" i="150"/>
  <c r="D18" i="150"/>
  <c r="M17" i="150"/>
  <c r="L17" i="150"/>
  <c r="K17" i="150"/>
  <c r="J17" i="150"/>
  <c r="I17" i="150"/>
  <c r="H17" i="150"/>
  <c r="G17" i="150"/>
  <c r="F17" i="150"/>
  <c r="E17" i="150"/>
  <c r="D17" i="150"/>
  <c r="M15" i="150"/>
  <c r="L15" i="150"/>
  <c r="K15" i="150"/>
  <c r="J15" i="150"/>
  <c r="I15" i="150"/>
  <c r="H15" i="150"/>
  <c r="G15" i="150"/>
  <c r="F15" i="150"/>
  <c r="E15" i="150"/>
  <c r="D15" i="150"/>
  <c r="M13" i="150"/>
  <c r="L13" i="150"/>
  <c r="K13" i="150"/>
  <c r="J13" i="150"/>
  <c r="I13" i="150"/>
  <c r="H13" i="150"/>
  <c r="G13" i="150"/>
  <c r="F13" i="150"/>
  <c r="E13" i="150"/>
  <c r="D13" i="150"/>
  <c r="M12" i="150"/>
  <c r="L12" i="150"/>
  <c r="K12" i="150"/>
  <c r="J12" i="150"/>
  <c r="I12" i="150"/>
  <c r="H12" i="150"/>
  <c r="G12" i="150"/>
  <c r="F12" i="150"/>
  <c r="E12" i="150"/>
  <c r="D12" i="150"/>
  <c r="M11" i="150"/>
  <c r="L11" i="150"/>
  <c r="K11" i="150"/>
  <c r="J11" i="150"/>
  <c r="I11" i="150"/>
  <c r="H11" i="150"/>
  <c r="G11" i="150"/>
  <c r="F11" i="150"/>
  <c r="E11" i="150"/>
  <c r="D11" i="150"/>
  <c r="M9" i="150"/>
  <c r="L9" i="150"/>
  <c r="K9" i="150"/>
  <c r="J9" i="150"/>
  <c r="I9" i="150"/>
  <c r="H9" i="150"/>
  <c r="G9" i="150"/>
  <c r="F9" i="150"/>
  <c r="E9" i="150"/>
  <c r="D9" i="150"/>
  <c r="M8" i="150"/>
  <c r="L8" i="150"/>
  <c r="K8" i="150"/>
  <c r="J8" i="150"/>
  <c r="I8" i="150"/>
  <c r="H8" i="150"/>
  <c r="G8" i="150"/>
  <c r="F8" i="150"/>
  <c r="E8" i="150"/>
  <c r="D8" i="150"/>
  <c r="M7" i="150"/>
  <c r="L7" i="150"/>
  <c r="K7" i="150"/>
  <c r="J7" i="150"/>
  <c r="I7" i="150"/>
  <c r="H7" i="150"/>
  <c r="G7" i="150"/>
  <c r="F7" i="150"/>
  <c r="E7" i="150"/>
  <c r="Z29" i="149"/>
  <c r="Z27" i="149"/>
  <c r="Z26" i="149"/>
  <c r="Z25" i="149"/>
  <c r="Z24" i="149"/>
</calcChain>
</file>

<file path=xl/sharedStrings.xml><?xml version="1.0" encoding="utf-8"?>
<sst xmlns="http://schemas.openxmlformats.org/spreadsheetml/2006/main" count="124" uniqueCount="112">
  <si>
    <t>ATTENDANCE RECORD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</si>
  <si>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</si>
  <si>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</si>
  <si>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</si>
  <si>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</si>
  <si>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</si>
  <si>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</si>
  <si>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</si>
  <si>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</si>
  <si>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</si>
  <si>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</si>
  <si>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</si>
  <si>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TOTAL</t>
  </si>
  <si>
    <t>Republic of the Phlippines</t>
  </si>
  <si>
    <t>Department of Education</t>
  </si>
  <si>
    <t>No.  of School Days</t>
  </si>
  <si>
    <t>No.  of  Days Present</t>
  </si>
  <si>
    <t>District</t>
  </si>
  <si>
    <t>No.  of  Days Absent</t>
  </si>
  <si>
    <t>School</t>
  </si>
  <si>
    <t>PARENT / GUARDIAN’S SIGNATURE</t>
  </si>
  <si>
    <t>LEARNER'S PROGRESS REPORT CARD</t>
  </si>
  <si>
    <t>1st Quarter</t>
  </si>
  <si>
    <t>2nd Quarter</t>
  </si>
  <si>
    <t>3rd Quarter</t>
  </si>
  <si>
    <t>4th Quarter</t>
  </si>
  <si>
    <t>Age:</t>
  </si>
  <si>
    <t>Sex:</t>
  </si>
  <si>
    <t>Certificate of Transfer</t>
  </si>
  <si>
    <t>Grade:</t>
  </si>
  <si>
    <t>Section</t>
  </si>
  <si>
    <t>School Year:</t>
  </si>
  <si>
    <t>2020-2021</t>
  </si>
  <si>
    <t>Principal:</t>
  </si>
  <si>
    <t>Approved:</t>
  </si>
  <si>
    <t>Dear Parent,</t>
  </si>
  <si>
    <t>Principal</t>
  </si>
  <si>
    <t>Teacher</t>
  </si>
  <si>
    <t xml:space="preserve">             This report card shows the ability and progress your child has</t>
  </si>
  <si>
    <t xml:space="preserve">Dear Parent:
 This report card shows the ability and progress your child has made in the different learning areas as well his/her core values.
 The school welcomes you should you desire to know more about your child’s progress.
</t>
  </si>
  <si>
    <t>made in different learning areas as well as his/her core values.</t>
  </si>
  <si>
    <t>Cancellation of Eligibility to Transfer</t>
  </si>
  <si>
    <t xml:space="preserve">             The school welcomes you should you desire to know more </t>
  </si>
  <si>
    <t>about your childs progress.</t>
  </si>
  <si>
    <t>REPORT ON LEARNING PROGRESS AND ACHIEVEMENT</t>
  </si>
  <si>
    <t>REPORT ON LEARNER'S OBSERVES VALUES</t>
  </si>
  <si>
    <t>Learning Areas</t>
  </si>
  <si>
    <t>Quarter</t>
  </si>
  <si>
    <t>Final Rating</t>
  </si>
  <si>
    <t>Remarks</t>
  </si>
  <si>
    <t>Core Values</t>
  </si>
  <si>
    <t>Behavior Statements</t>
  </si>
  <si>
    <t>school</t>
  </si>
  <si>
    <t>school id</t>
  </si>
  <si>
    <t>district</t>
  </si>
  <si>
    <t>division</t>
  </si>
  <si>
    <t>region</t>
  </si>
  <si>
    <t>grade</t>
  </si>
  <si>
    <t>section</t>
  </si>
  <si>
    <t>school year</t>
  </si>
  <si>
    <t>adviser</t>
  </si>
  <si>
    <t xml:space="preserve">1. Maka- Diyos               </t>
  </si>
  <si>
    <t xml:space="preserve">Expresses one’s spiritual beliefs while respecting the spiritual beliefs of others.
</t>
  </si>
  <si>
    <t>Shows adherence to ethical principles by upholding truth in all undertakings.</t>
  </si>
  <si>
    <t>2.Makatao</t>
  </si>
  <si>
    <t>In sensitive to individual, social, and cultural diffrences;</t>
  </si>
  <si>
    <t>Demonstrates contributions towards solidarity.</t>
  </si>
  <si>
    <t>3. Maka-Kalikasan</t>
  </si>
  <si>
    <t xml:space="preserve">Cares for environment and utilizes resources wisely, judiciosly and economically. </t>
  </si>
  <si>
    <t>4. Maka-Bansa</t>
  </si>
  <si>
    <t>Demonstrates pride in being a Filipino;exercises the rights and responsibilities of a Filipino citizen.</t>
  </si>
  <si>
    <t>General Average</t>
  </si>
  <si>
    <t>Demonstrate appropriate behavior in carrying out activities in school, community and country.</t>
  </si>
  <si>
    <t>Descriptors</t>
  </si>
  <si>
    <t>Grading Scale</t>
  </si>
  <si>
    <t>Outstanding</t>
  </si>
  <si>
    <t>90-100</t>
  </si>
  <si>
    <t>Passed</t>
  </si>
  <si>
    <t>Marking</t>
  </si>
  <si>
    <t>Non- Numerical Rating</t>
  </si>
  <si>
    <t>Very Satisfactory</t>
  </si>
  <si>
    <t>85-89</t>
  </si>
  <si>
    <t>AO</t>
  </si>
  <si>
    <t>Always  Observed</t>
  </si>
  <si>
    <t>Satisfactory</t>
  </si>
  <si>
    <t>80-84</t>
  </si>
  <si>
    <t>SO</t>
  </si>
  <si>
    <t>Sometimes Observed</t>
  </si>
  <si>
    <t>Fairly Satisfactory</t>
  </si>
  <si>
    <t>75-79</t>
  </si>
  <si>
    <t>RO</t>
  </si>
  <si>
    <t>Rarely Observed</t>
  </si>
  <si>
    <t>Did Not Meet Expectations</t>
  </si>
  <si>
    <t>Below 75</t>
  </si>
  <si>
    <t>Failed</t>
  </si>
  <si>
    <t>NO</t>
  </si>
  <si>
    <t>Not Observed</t>
  </si>
  <si>
    <t>Sta. Maria Central School</t>
  </si>
  <si>
    <t>Division of  Zamboanga City</t>
  </si>
  <si>
    <t>Region IX</t>
  </si>
  <si>
    <t xml:space="preserve">Name: </t>
  </si>
  <si>
    <t>Admitted to Grade:</t>
  </si>
  <si>
    <t>Eligibility for Admission to Grade:</t>
  </si>
  <si>
    <t xml:space="preserve">Section: </t>
  </si>
  <si>
    <r>
      <t xml:space="preserve"> </t>
    </r>
    <r>
      <rPr>
        <b/>
        <sz val="12"/>
        <color theme="1"/>
        <rFont val="Aparajita"/>
        <family val="1"/>
      </rPr>
      <t xml:space="preserve">  This report card shows the ability and progress your child has made in  </t>
    </r>
  </si>
  <si>
    <t>Admitted in:</t>
  </si>
  <si>
    <t xml:space="preserve">Date: </t>
  </si>
  <si>
    <t>Dr. Lepidaptera T. Villanueva</t>
  </si>
  <si>
    <t xml:space="preserve">Grade: </t>
  </si>
  <si>
    <t>Section:</t>
  </si>
  <si>
    <t>Learner's Reference Number:</t>
  </si>
  <si>
    <t xml:space="preserve">Age: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</si>
</sst>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Aparajita"/>
      <family val="2"/>
    </font>
    <font>
      <sz val="11"/>
      <color theme="1"/>
      <name val="Aparajita"/>
      <family val="2"/>
    </font>
    <font>
      <sz val="10"/>
      <color theme="1"/>
      <name val="Aparajita"/>
      <family val="2"/>
    </font>
    <font>
      <sz val="12"/>
      <color theme="1"/>
      <name val="Aparajita"/>
      <family val="2"/>
    </font>
    <font>
      <b/>
      <sz val="12"/>
      <color theme="1"/>
      <name val="Aparajita"/>
      <family val="2"/>
    </font>
    <font>
      <b/>
      <sz val="11"/>
      <color theme="1"/>
      <name val="Aparajita"/>
      <family val="2"/>
    </font>
    <font>
      <sz val="14"/>
      <color theme="1"/>
      <name val="Aparajita"/>
      <family val="2"/>
    </font>
    <font>
      <sz val="8"/>
      <color theme="1"/>
      <name val="Aparajita"/>
      <family val="2"/>
    </font>
    <font>
      <sz val="10.5"/>
      <color theme="1"/>
      <name val="Aparajita"/>
      <family val="2"/>
    </font>
    <font>
      <b/>
      <sz val="8"/>
      <color theme="1"/>
      <name val="Aparajita"/>
      <family val="2"/>
    </font>
    <font>
      <sz val="12"/>
      <color rgb="FF000000"/>
      <name val="Aparajita"/>
      <family val="1"/>
    </font>
    <font>
      <b/>
      <sz val="12"/>
      <color rgb="FF000000"/>
      <name val="Aparajita"/>
      <family val="1"/>
    </font>
    <font>
      <sz val="11"/>
      <color theme="1"/>
      <name val="Aparajita"/>
      <family val="1"/>
    </font>
    <font>
      <b/>
      <sz val="14"/>
      <color theme="1"/>
      <name val="Aparajita"/>
      <family val="1"/>
    </font>
    <font>
      <sz val="10"/>
      <color theme="1"/>
      <name val="Aparajita"/>
      <family val="1"/>
    </font>
    <font>
      <sz val="7"/>
      <color theme="1"/>
      <name val="Aparajita"/>
      <family val="1"/>
    </font>
    <font>
      <b/>
      <sz val="7"/>
      <color theme="1"/>
      <name val="Aparajita"/>
      <family val="1"/>
    </font>
    <font>
      <sz val="12"/>
      <color theme="1"/>
      <name val="Aparajita"/>
      <family val="1"/>
    </font>
    <font>
      <sz val="8"/>
      <color theme="1"/>
      <name val="Aparajita"/>
      <family val="1"/>
    </font>
    <font>
      <sz val="9"/>
      <color theme="1"/>
      <name val="Aparajita"/>
      <family val="1"/>
    </font>
    <font>
      <sz val="11"/>
      <color rgb="FF000000"/>
      <name val="Aparajita"/>
      <family val="1"/>
    </font>
    <font>
      <b/>
      <sz val="12"/>
      <color theme="1"/>
      <name val="Aparajita"/>
      <family val="1"/>
    </font>
    <font>
      <b/>
      <sz val="16"/>
      <color theme="1"/>
      <name val="Aparajita"/>
      <family val="1"/>
    </font>
    <font>
      <b/>
      <sz val="11"/>
      <color theme="1"/>
      <name val="Aparajita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70">
    <xf numFmtId="0" fontId="0" fillId="0" borderId="0" xfId="0"/>
    <xf numFmtId="0" fontId="3" fillId="0" borderId="0" xfId="0" applyFont="1"/>
    <xf numFmtId="0" fontId="6" fillId="0" borderId="0" xfId="0" applyFont="1"/>
    <xf numFmtId="0" fontId="5" fillId="0" borderId="0" xfId="0" applyFont="1"/>
    <xf numFmtId="0" fontId="8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10" fillId="0" borderId="4" xfId="0" applyFont="1" applyBorder="1" applyAlignment="1">
      <alignment horizontal="left" vertical="center"/>
    </xf>
    <xf numFmtId="1" fontId="3" fillId="0" borderId="5" xfId="0" applyNumberFormat="1" applyFont="1" applyBorder="1" applyAlignment="1">
      <alignment horizontal="center" vertical="center"/>
    </xf>
    <xf numFmtId="0" fontId="0" fillId="0" borderId="3" xfId="0" applyBorder="1"/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14" fillId="0" borderId="0" xfId="0" applyFont="1"/>
    <xf numFmtId="0" fontId="16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21" fillId="0" borderId="0" xfId="0" applyFont="1" applyAlignment="1">
      <alignment horizontal="center" wrapText="1"/>
    </xf>
    <xf numFmtId="0" fontId="15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5" fillId="0" borderId="0" xfId="0" applyFont="1"/>
    <xf numFmtId="0" fontId="23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3" fillId="0" borderId="0" xfId="0" applyFont="1"/>
    <xf numFmtId="0" fontId="19" fillId="0" borderId="0" xfId="0" applyFont="1"/>
    <xf numFmtId="1" fontId="14" fillId="0" borderId="0" xfId="0" applyNumberFormat="1" applyFont="1" applyAlignment="1">
      <alignment vertical="center"/>
    </xf>
    <xf numFmtId="0" fontId="14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19" fillId="0" borderId="0" xfId="0" applyFont="1" applyAlignment="1">
      <alignment vertical="top"/>
    </xf>
    <xf numFmtId="0" fontId="23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19" fillId="0" borderId="0" xfId="0" applyFont="1" applyProtection="1">
      <protection locked="0"/>
    </xf>
    <xf numFmtId="0" fontId="19" fillId="0" borderId="1" xfId="0" applyFont="1" applyBorder="1"/>
    <xf numFmtId="0" fontId="19" fillId="0" borderId="1" xfId="0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top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23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distributed" wrapText="1"/>
    </xf>
    <xf numFmtId="0" fontId="20" fillId="0" borderId="5" xfId="0" applyFont="1" applyBorder="1" applyAlignment="1">
      <alignment horizontal="center" vertical="distributed" wrapText="1"/>
    </xf>
    <xf numFmtId="0" fontId="14" fillId="0" borderId="3" xfId="0" applyFont="1" applyBorder="1" applyAlignment="1" applyProtection="1">
      <alignment horizontal="center" vertical="center" textRotation="90"/>
      <protection locked="0"/>
    </xf>
    <xf numFmtId="0" fontId="14" fillId="0" borderId="7" xfId="0" applyFont="1" applyBorder="1" applyAlignment="1" applyProtection="1">
      <alignment horizontal="center" vertical="center" textRotation="90"/>
      <protection locked="0"/>
    </xf>
    <xf numFmtId="0" fontId="14" fillId="0" borderId="6" xfId="0" applyFont="1" applyBorder="1" applyAlignment="1" applyProtection="1">
      <alignment horizontal="center" vertical="center" textRotation="90"/>
      <protection locked="0"/>
    </xf>
    <xf numFmtId="0" fontId="14" fillId="0" borderId="0" xfId="0" applyFont="1" applyAlignment="1">
      <alignment horizontal="center" wrapText="1"/>
    </xf>
    <xf numFmtId="0" fontId="20" fillId="0" borderId="6" xfId="0" applyFont="1" applyBorder="1" applyAlignment="1">
      <alignment horizontal="center" vertical="distributed" wrapText="1"/>
    </xf>
    <xf numFmtId="0" fontId="14" fillId="0" borderId="7" xfId="0" applyFont="1" applyBorder="1" applyAlignment="1" applyProtection="1">
      <alignment horizontal="center" vertical="center" textRotation="90" wrapText="1"/>
      <protection locked="0"/>
    </xf>
    <xf numFmtId="0" fontId="14" fillId="0" borderId="6" xfId="0" applyFont="1" applyBorder="1" applyAlignment="1" applyProtection="1">
      <alignment horizontal="center" vertical="center" textRotation="90" wrapText="1"/>
      <protection locked="0"/>
    </xf>
    <xf numFmtId="0" fontId="14" fillId="0" borderId="5" xfId="0" applyFont="1" applyBorder="1" applyAlignment="1" applyProtection="1">
      <alignment horizontal="center" vertical="center" textRotation="90" wrapText="1"/>
      <protection locked="0"/>
    </xf>
    <xf numFmtId="0" fontId="21" fillId="0" borderId="6" xfId="0" applyFont="1" applyBorder="1" applyAlignment="1" applyProtection="1">
      <alignment horizontal="center" vertical="center" textRotation="90"/>
      <protection locked="0"/>
    </xf>
    <xf numFmtId="0" fontId="21" fillId="0" borderId="5" xfId="0" applyFont="1" applyBorder="1" applyAlignment="1" applyProtection="1">
      <alignment horizontal="center" vertical="center" textRotation="90"/>
      <protection locked="0"/>
    </xf>
    <xf numFmtId="0" fontId="17" fillId="0" borderId="7" xfId="0" applyFont="1" applyBorder="1" applyAlignment="1">
      <alignment horizontal="center" vertical="center" textRotation="90"/>
    </xf>
    <xf numFmtId="0" fontId="17" fillId="0" borderId="6" xfId="0" applyFont="1" applyBorder="1" applyAlignment="1">
      <alignment horizontal="center" vertical="center" textRotation="90"/>
    </xf>
    <xf numFmtId="0" fontId="17" fillId="0" borderId="5" xfId="0" applyFont="1" applyBorder="1" applyAlignment="1">
      <alignment horizontal="center" vertical="center" textRotation="90"/>
    </xf>
    <xf numFmtId="0" fontId="18" fillId="0" borderId="7" xfId="0" applyFont="1" applyBorder="1" applyAlignment="1">
      <alignment horizontal="center" vertical="center" textRotation="90"/>
    </xf>
    <xf numFmtId="0" fontId="18" fillId="0" borderId="6" xfId="0" applyFont="1" applyBorder="1" applyAlignment="1">
      <alignment horizontal="center" vertical="center" textRotation="90"/>
    </xf>
    <xf numFmtId="0" fontId="18" fillId="0" borderId="5" xfId="0" applyFont="1" applyBorder="1" applyAlignment="1">
      <alignment horizontal="center" vertical="center" textRotation="90"/>
    </xf>
    <xf numFmtId="0" fontId="23" fillId="0" borderId="0" xfId="0" applyFont="1" applyAlignment="1">
      <alignment vertical="center"/>
    </xf>
    <xf numFmtId="0" fontId="14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center"/>
    </xf>
    <xf numFmtId="0" fontId="14" fillId="0" borderId="7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3" xfId="0" applyFont="1" applyBorder="1" applyAlignment="1">
      <alignment horizontal="center" wrapText="1"/>
    </xf>
    <xf numFmtId="0" fontId="19" fillId="0" borderId="15" xfId="0" applyFont="1" applyBorder="1" applyAlignment="1">
      <alignment vertical="center"/>
    </xf>
    <xf numFmtId="0" fontId="19" fillId="0" borderId="0" xfId="0" applyFont="1" applyAlignment="1" applyProtection="1">
      <alignment horizontal="left" vertical="center"/>
      <protection locked="0"/>
    </xf>
    <xf numFmtId="0" fontId="14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3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wrapText="1"/>
    </xf>
    <xf numFmtId="0" fontId="4" fillId="0" borderId="9" xfId="0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3" fillId="0" borderId="3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9" fillId="0" borderId="6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632461</xdr:colOff>
      <xdr:row>2</xdr:row>
      <xdr:rowOff>126890</xdr:rowOff>
    </xdr:from>
    <xdr:ext cx="960783" cy="452230"/>
    <xdr:pic>
      <xdr:nvPicPr>
        <xdr:cNvPr id="2" name="DepEd Logo" descr="DepEd Logo">
          <a:extLst>
            <a:ext uri="{FF2B5EF4-FFF2-40B4-BE49-F238E27FC236}">
              <a16:creationId xmlns:a16="http://schemas.microsoft.com/office/drawing/2014/main" id="{90E98C62-2234-4C6C-A36E-77E174185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0101" y="538370"/>
          <a:ext cx="960783" cy="452230"/>
        </a:xfrm>
        <a:prstGeom prst="rect">
          <a:avLst/>
        </a:prstGeom>
      </xdr:spPr>
    </xdr:pic>
    <xdr:clientData/>
  </xdr:oneCellAnchor>
  <xdr:twoCellAnchor editAs="oneCell">
    <xdr:from>
      <xdr:col>20</xdr:col>
      <xdr:colOff>190500</xdr:colOff>
      <xdr:row>2</xdr:row>
      <xdr:rowOff>99060</xdr:rowOff>
    </xdr:from>
    <xdr:to>
      <xdr:col>21</xdr:col>
      <xdr:colOff>205746</xdr:colOff>
      <xdr:row>5</xdr:row>
      <xdr:rowOff>145478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354454A-9023-13A2-5A48-6DE6930C9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510540"/>
          <a:ext cx="640086" cy="587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8"/>
  <dimension ref="A3:Z40"/>
  <sheetViews>
    <sheetView showGridLines="0" topLeftCell="A22" zoomScaleNormal="100" zoomScaleSheetLayoutView="115" workbookViewId="0">
      <selection activeCell="W35" sqref="W35"/>
    </sheetView>
  </sheetViews>
  <sheetFormatPr defaultColWidth="9.109375" defaultRowHeight="16.2" x14ac:dyDescent="0.45"/>
  <cols>
    <col min="1" max="1" width="7.44140625" style="16" customWidth="1"/>
    <col min="2" max="14" width="3.88671875" style="16" customWidth="1"/>
    <col min="15" max="15" width="10.6640625" style="16" customWidth="1"/>
    <col min="16" max="16" width="7" style="16" customWidth="1"/>
    <col min="17" max="18" width="9.109375" style="16"/>
    <col min="19" max="19" width="2.33203125" style="16" customWidth="1"/>
    <col min="20" max="21" width="9.109375" style="16"/>
    <col min="22" max="22" width="8.21875" style="16" customWidth="1"/>
    <col min="23" max="23" width="9.109375" style="16"/>
    <col min="24" max="24" width="11" style="16" customWidth="1"/>
    <col min="25" max="25" width="10.88671875" style="16" hidden="1" customWidth="1"/>
    <col min="26" max="26" width="12.33203125" style="16" hidden="1" customWidth="1"/>
    <col min="27" max="27" width="4.5546875" style="16" customWidth="1"/>
    <col min="28" max="28" width="9.109375" style="16" customWidth="1"/>
    <col min="29" max="29" width="7.44140625" style="16" customWidth="1"/>
    <col min="30" max="30" width="12.109375" style="16" customWidth="1"/>
    <col min="31" max="31" width="10" style="16" customWidth="1"/>
    <col min="32" max="32" width="7" style="16" customWidth="1"/>
    <col min="33" max="33" width="9.33203125" style="16" customWidth="1"/>
    <col min="34" max="34" width="9" style="16" customWidth="1"/>
    <col min="35" max="16384" width="9.109375" style="16"/>
  </cols>
  <sheetData>
    <row r="3" spans="1:24" ht="12.75" customHeight="1" x14ac:dyDescent="0.45">
      <c r="A3" s="89" t="s">
        <v>0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P3" s="17"/>
    </row>
    <row r="4" spans="1:24" ht="15" customHeight="1" x14ac:dyDescent="0.45">
      <c r="A4" s="90"/>
      <c r="B4" s="79" t="s">
        <v>1</v>
      </c>
      <c r="C4" s="79" t="s">
        <v>2</v>
      </c>
      <c r="D4" s="79" t="s">
        <v>3</v>
      </c>
      <c r="E4" s="79" t="s">
        <v>4</v>
      </c>
      <c r="F4" s="79" t="s">
        <v>5</v>
      </c>
      <c r="G4" s="79" t="s">
        <v>6</v>
      </c>
      <c r="H4" s="79" t="s">
        <v>7</v>
      </c>
      <c r="I4" s="79" t="s">
        <v>8</v>
      </c>
      <c r="J4" s="79" t="s">
        <v>9</v>
      </c>
      <c r="K4" s="79" t="s">
        <v>10</v>
      </c>
      <c r="L4" s="79" t="s">
        <v>11</v>
      </c>
      <c r="M4" s="82" t="s">
        <v>12</v>
      </c>
      <c r="N4" s="63"/>
      <c r="O4" s="63"/>
      <c r="Q4" s="92" t="s">
        <v>13</v>
      </c>
      <c r="R4" s="92"/>
      <c r="S4" s="92"/>
      <c r="T4" s="92"/>
      <c r="U4" s="92"/>
    </row>
    <row r="5" spans="1:24" ht="15" customHeight="1" x14ac:dyDescent="0.45">
      <c r="A5" s="91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3"/>
      <c r="N5" s="63"/>
      <c r="O5" s="63"/>
      <c r="Q5" s="93" t="s">
        <v>14</v>
      </c>
      <c r="R5" s="93"/>
      <c r="S5" s="93"/>
      <c r="T5" s="93"/>
      <c r="U5" s="93"/>
    </row>
    <row r="6" spans="1:24" s="20" customFormat="1" ht="12.75" customHeight="1" x14ac:dyDescent="0.45">
      <c r="A6" s="9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4"/>
      <c r="N6" s="63"/>
      <c r="O6" s="63"/>
      <c r="Q6" s="94" t="s">
        <v>99</v>
      </c>
      <c r="R6" s="94"/>
      <c r="S6" s="94"/>
      <c r="T6" s="94"/>
      <c r="U6" s="94"/>
    </row>
    <row r="7" spans="1:24" x14ac:dyDescent="0.45">
      <c r="A7" s="95" t="s">
        <v>15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63"/>
      <c r="O7" s="63"/>
      <c r="P7" s="72"/>
      <c r="Q7" s="66" t="s">
        <v>98</v>
      </c>
      <c r="R7" s="66"/>
      <c r="S7" s="66"/>
      <c r="T7" s="66"/>
      <c r="U7" s="66"/>
    </row>
    <row r="8" spans="1:24" ht="11.25" customHeight="1" x14ac:dyDescent="0.45">
      <c r="A8" s="95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63"/>
      <c r="O8" s="63"/>
      <c r="P8" s="72"/>
      <c r="Q8" s="86" t="s">
        <v>17</v>
      </c>
      <c r="R8" s="86"/>
      <c r="S8" s="86"/>
      <c r="T8" s="86"/>
      <c r="U8" s="86"/>
    </row>
    <row r="9" spans="1:24" ht="3.75" customHeight="1" x14ac:dyDescent="0.45">
      <c r="A9" s="67" t="s">
        <v>16</v>
      </c>
      <c r="B9" s="70"/>
      <c r="C9" s="74"/>
      <c r="D9" s="70"/>
      <c r="E9" s="70"/>
      <c r="F9" s="70"/>
      <c r="G9" s="70"/>
      <c r="H9" s="70"/>
      <c r="I9" s="70"/>
      <c r="J9" s="70"/>
      <c r="K9" s="70"/>
      <c r="L9" s="70"/>
      <c r="M9" s="70"/>
      <c r="P9" s="72"/>
    </row>
    <row r="10" spans="1:24" ht="16.5" customHeight="1" x14ac:dyDescent="0.45">
      <c r="A10" s="73"/>
      <c r="B10" s="71"/>
      <c r="C10" s="75"/>
      <c r="D10" s="71"/>
      <c r="E10" s="71"/>
      <c r="F10" s="71"/>
      <c r="G10" s="71"/>
      <c r="H10" s="71"/>
      <c r="I10" s="71"/>
      <c r="J10" s="71"/>
      <c r="K10" s="71"/>
      <c r="L10" s="71"/>
      <c r="M10" s="71"/>
      <c r="P10" s="21"/>
      <c r="Q10" s="66" t="s">
        <v>97</v>
      </c>
      <c r="R10" s="66"/>
      <c r="S10" s="66"/>
      <c r="T10" s="66"/>
      <c r="U10" s="66"/>
    </row>
    <row r="11" spans="1:24" ht="10.5" customHeight="1" x14ac:dyDescent="0.45">
      <c r="A11" s="68"/>
      <c r="B11" s="71"/>
      <c r="C11" s="76"/>
      <c r="D11" s="71"/>
      <c r="E11" s="71"/>
      <c r="F11" s="71"/>
      <c r="G11" s="71"/>
      <c r="H11" s="71"/>
      <c r="I11" s="71"/>
      <c r="J11" s="71"/>
      <c r="K11" s="71"/>
      <c r="L11" s="71"/>
      <c r="M11" s="71"/>
      <c r="R11" s="87" t="s">
        <v>19</v>
      </c>
      <c r="S11" s="87"/>
      <c r="T11" s="87"/>
    </row>
    <row r="12" spans="1:24" ht="17.399999999999999" customHeight="1" x14ac:dyDescent="0.45">
      <c r="A12" s="67" t="s">
        <v>18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P12" s="22"/>
      <c r="R12" s="88"/>
      <c r="S12" s="88"/>
      <c r="T12" s="88"/>
    </row>
    <row r="13" spans="1:24" ht="16.5" customHeight="1" x14ac:dyDescent="0.5">
      <c r="A13" s="68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Q13" s="25"/>
      <c r="R13" s="88"/>
      <c r="S13" s="88"/>
      <c r="T13" s="88"/>
      <c r="X13" s="23"/>
    </row>
    <row r="14" spans="1:24" ht="10.5" customHeight="1" x14ac:dyDescent="0.45">
      <c r="A14" s="24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24" ht="11.25" customHeight="1" x14ac:dyDescent="0.45">
      <c r="A15" s="22"/>
      <c r="P15" s="22"/>
    </row>
    <row r="16" spans="1:24" s="20" customFormat="1" ht="12" customHeight="1" x14ac:dyDescent="0.3">
      <c r="A16" s="56" t="s">
        <v>20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</row>
    <row r="17" spans="1:26" ht="15" customHeight="1" x14ac:dyDescent="0.45">
      <c r="P17" s="60" t="s">
        <v>21</v>
      </c>
      <c r="Q17" s="60"/>
      <c r="R17" s="60"/>
      <c r="S17" s="60"/>
      <c r="T17" s="60"/>
      <c r="U17" s="60"/>
      <c r="V17" s="60"/>
    </row>
    <row r="18" spans="1:26" ht="11.25" customHeight="1" x14ac:dyDescent="0.45">
      <c r="B18" s="20" t="s">
        <v>22</v>
      </c>
      <c r="E18" s="66"/>
      <c r="F18" s="66"/>
      <c r="G18" s="66"/>
      <c r="H18" s="66"/>
      <c r="I18" s="66"/>
      <c r="J18" s="66"/>
      <c r="P18" s="27"/>
      <c r="Q18" s="27"/>
      <c r="R18" s="27"/>
      <c r="S18" s="27"/>
      <c r="T18" s="27"/>
      <c r="U18" s="27"/>
    </row>
    <row r="19" spans="1:26" ht="11.25" customHeight="1" x14ac:dyDescent="0.45">
      <c r="B19" s="20"/>
      <c r="P19" s="27"/>
      <c r="Q19" s="27"/>
      <c r="R19" s="27"/>
      <c r="S19" s="27"/>
      <c r="T19" s="27"/>
      <c r="U19" s="27"/>
    </row>
    <row r="20" spans="1:26" ht="11.25" customHeight="1" x14ac:dyDescent="0.45">
      <c r="B20" s="20" t="s">
        <v>23</v>
      </c>
      <c r="E20" s="66"/>
      <c r="F20" s="66"/>
      <c r="G20" s="66"/>
      <c r="H20" s="66"/>
      <c r="I20" s="66"/>
      <c r="J20" s="66"/>
      <c r="P20" s="27"/>
      <c r="Q20" s="27"/>
      <c r="R20" s="27"/>
      <c r="S20" s="27"/>
      <c r="T20" s="27"/>
      <c r="U20" s="27"/>
    </row>
    <row r="21" spans="1:26" ht="11.25" customHeight="1" x14ac:dyDescent="0.45">
      <c r="B21" s="20"/>
      <c r="P21" s="27"/>
      <c r="Q21" s="27"/>
      <c r="R21" s="27"/>
      <c r="S21" s="27"/>
      <c r="T21" s="27"/>
      <c r="U21" s="27"/>
    </row>
    <row r="22" spans="1:26" s="20" customFormat="1" ht="11.25" customHeight="1" x14ac:dyDescent="0.3">
      <c r="B22" s="20" t="s">
        <v>24</v>
      </c>
      <c r="E22" s="66"/>
      <c r="F22" s="66"/>
      <c r="G22" s="66"/>
      <c r="H22" s="66"/>
      <c r="I22" s="66"/>
      <c r="J22" s="66"/>
      <c r="P22" s="28" t="s">
        <v>100</v>
      </c>
      <c r="Q22" s="64"/>
      <c r="R22" s="64"/>
      <c r="S22" s="64"/>
      <c r="T22" s="64"/>
      <c r="U22" s="64"/>
      <c r="V22" s="64"/>
    </row>
    <row r="23" spans="1:26" ht="11.25" customHeight="1" x14ac:dyDescent="0.45">
      <c r="B23" s="20"/>
      <c r="P23" s="30"/>
      <c r="Q23" s="30"/>
      <c r="R23" s="30"/>
      <c r="S23" s="30"/>
      <c r="T23" s="30"/>
      <c r="U23" s="30"/>
      <c r="V23" s="31"/>
      <c r="Z23" s="32"/>
    </row>
    <row r="24" spans="1:26" s="20" customFormat="1" ht="11.25" customHeight="1" x14ac:dyDescent="0.3">
      <c r="B24" s="20" t="s">
        <v>25</v>
      </c>
      <c r="E24" s="66"/>
      <c r="F24" s="66"/>
      <c r="G24" s="66"/>
      <c r="H24" s="66"/>
      <c r="I24" s="66"/>
      <c r="J24" s="66"/>
      <c r="P24" s="85" t="s">
        <v>110</v>
      </c>
      <c r="Q24" s="85"/>
      <c r="R24" s="85"/>
      <c r="S24" s="85"/>
      <c r="T24" s="64"/>
      <c r="U24" s="64"/>
      <c r="V24" s="64"/>
      <c r="Y24" s="20" t="s">
        <v>26</v>
      </c>
      <c r="Z24" s="20" t="str">
        <f>IFERROR(VLOOKUP(X13,data,8,FALSE),"not found")</f>
        <v>not found</v>
      </c>
    </row>
    <row r="25" spans="1:26" ht="7.5" customHeight="1" x14ac:dyDescent="0.45">
      <c r="B25" s="20"/>
      <c r="P25" s="30"/>
      <c r="Q25" s="30"/>
      <c r="R25" s="30"/>
      <c r="S25" s="30"/>
      <c r="T25" s="30"/>
      <c r="U25" s="30"/>
      <c r="V25" s="31"/>
      <c r="Y25" s="16" t="s">
        <v>27</v>
      </c>
      <c r="Z25" s="20" t="str">
        <f>IFERROR(VLOOKUP(X13,data,10,FALSE),"not found")</f>
        <v>not found</v>
      </c>
    </row>
    <row r="26" spans="1:26" ht="16.2" customHeight="1" x14ac:dyDescent="0.45">
      <c r="B26" s="53" t="s">
        <v>28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P26" s="30" t="s">
        <v>111</v>
      </c>
      <c r="Q26" s="37"/>
      <c r="R26" s="31"/>
      <c r="S26" s="19" t="s">
        <v>27</v>
      </c>
      <c r="T26" s="52"/>
      <c r="U26" s="31"/>
      <c r="V26" s="31"/>
      <c r="Y26" s="20" t="s">
        <v>29</v>
      </c>
      <c r="Z26" s="16" t="e">
        <f>#REF!</f>
        <v>#REF!</v>
      </c>
    </row>
    <row r="27" spans="1:26" s="33" customFormat="1" ht="12.75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P27" s="34"/>
      <c r="Q27" s="35"/>
      <c r="R27" s="35"/>
      <c r="S27" s="35"/>
      <c r="T27" s="35"/>
      <c r="U27" s="35"/>
      <c r="V27" s="35"/>
      <c r="Y27" s="33" t="s">
        <v>30</v>
      </c>
      <c r="Z27" s="33" t="e">
        <f>#REF!</f>
        <v>#REF!</v>
      </c>
    </row>
    <row r="28" spans="1:26" ht="15" customHeight="1" x14ac:dyDescent="0.45">
      <c r="A28" s="57" t="s">
        <v>101</v>
      </c>
      <c r="B28" s="57"/>
      <c r="C28" s="57"/>
      <c r="D28" s="58"/>
      <c r="E28" s="58"/>
      <c r="F28" s="58"/>
      <c r="G28" s="58"/>
      <c r="H28" s="63" t="s">
        <v>103</v>
      </c>
      <c r="I28" s="63"/>
      <c r="J28" s="58"/>
      <c r="K28" s="58"/>
      <c r="L28" s="58"/>
      <c r="M28" s="58"/>
      <c r="N28" s="31"/>
      <c r="P28" s="30" t="s">
        <v>108</v>
      </c>
      <c r="Q28" s="64"/>
      <c r="R28" s="64"/>
      <c r="S28" s="64"/>
      <c r="T28" s="19" t="s">
        <v>109</v>
      </c>
      <c r="U28" s="64"/>
      <c r="V28" s="64"/>
      <c r="Y28" s="16" t="s">
        <v>31</v>
      </c>
      <c r="Z28" s="16" t="s">
        <v>32</v>
      </c>
    </row>
    <row r="29" spans="1:26" s="20" customFormat="1" ht="25.8" customHeight="1" x14ac:dyDescent="0.45">
      <c r="A29" s="57" t="s">
        <v>102</v>
      </c>
      <c r="B29" s="57"/>
      <c r="C29" s="57"/>
      <c r="D29" s="57"/>
      <c r="E29" s="57"/>
      <c r="F29" s="57"/>
      <c r="G29" s="59"/>
      <c r="H29" s="59"/>
      <c r="I29" s="59"/>
      <c r="J29" s="59"/>
      <c r="K29" s="59"/>
      <c r="L29" s="59"/>
      <c r="M29" s="59"/>
      <c r="N29" s="29"/>
      <c r="P29" s="65" t="s">
        <v>31</v>
      </c>
      <c r="Q29" s="65"/>
      <c r="R29" s="100"/>
      <c r="S29" s="100"/>
      <c r="T29" s="100"/>
      <c r="U29" s="100"/>
      <c r="V29" s="100"/>
      <c r="Y29" s="20" t="s">
        <v>33</v>
      </c>
      <c r="Z29" s="20" t="e">
        <f>#REF!</f>
        <v>#REF!</v>
      </c>
    </row>
    <row r="30" spans="1:26" s="20" customFormat="1" ht="25.2" customHeight="1" x14ac:dyDescent="0.45">
      <c r="A30" s="16" t="s">
        <v>34</v>
      </c>
      <c r="P30" s="28"/>
      <c r="Q30" s="29"/>
      <c r="R30" s="29"/>
      <c r="S30" s="29"/>
      <c r="T30" s="29"/>
      <c r="U30" s="29"/>
      <c r="V30" s="29"/>
    </row>
    <row r="31" spans="1:26" ht="13.8" customHeight="1" x14ac:dyDescent="0.45">
      <c r="A31" s="98"/>
      <c r="B31" s="98"/>
      <c r="C31" s="98"/>
      <c r="D31" s="98"/>
      <c r="E31" s="98"/>
      <c r="F31" s="98"/>
      <c r="I31" s="98"/>
      <c r="J31" s="98"/>
      <c r="K31" s="98"/>
      <c r="L31" s="98"/>
      <c r="M31" s="98"/>
      <c r="P31" s="30" t="s">
        <v>35</v>
      </c>
      <c r="Q31" s="31"/>
      <c r="R31" s="31"/>
      <c r="S31" s="31"/>
      <c r="T31" s="31"/>
      <c r="U31" s="31"/>
      <c r="V31" s="31"/>
    </row>
    <row r="32" spans="1:26" ht="18" customHeight="1" x14ac:dyDescent="0.45">
      <c r="B32" s="62" t="s">
        <v>36</v>
      </c>
      <c r="C32" s="62"/>
      <c r="D32" s="62"/>
      <c r="J32" s="62" t="s">
        <v>37</v>
      </c>
      <c r="K32" s="62"/>
      <c r="L32" s="62"/>
      <c r="P32" s="30" t="s">
        <v>38</v>
      </c>
      <c r="Q32" s="31"/>
      <c r="R32" s="31"/>
      <c r="S32" s="31"/>
      <c r="T32" s="31"/>
      <c r="U32" s="31"/>
      <c r="V32" s="31"/>
    </row>
    <row r="33" spans="1:22" s="20" customFormat="1" ht="14.25" hidden="1" customHeight="1" x14ac:dyDescent="0.3">
      <c r="A33" s="54" t="s">
        <v>36</v>
      </c>
      <c r="B33" s="54"/>
      <c r="C33" s="54"/>
      <c r="D33" s="54"/>
      <c r="E33" s="54"/>
      <c r="F33" s="54"/>
      <c r="H33" s="54" t="s">
        <v>37</v>
      </c>
      <c r="I33" s="54"/>
      <c r="J33" s="54"/>
      <c r="K33" s="54"/>
      <c r="L33" s="54"/>
      <c r="M33" s="54"/>
      <c r="N33" s="54"/>
      <c r="P33" s="55" t="s">
        <v>39</v>
      </c>
      <c r="Q33" s="55"/>
      <c r="R33" s="36"/>
      <c r="S33" s="29"/>
      <c r="T33" s="29"/>
      <c r="U33" s="29"/>
      <c r="V33" s="29"/>
    </row>
    <row r="34" spans="1:22" ht="15" hidden="1" customHeight="1" x14ac:dyDescent="0.45">
      <c r="P34" s="31" t="s">
        <v>104</v>
      </c>
      <c r="Q34" s="31"/>
      <c r="R34" s="31"/>
      <c r="S34" s="31"/>
      <c r="T34" s="31"/>
      <c r="U34" s="31"/>
      <c r="V34" s="31"/>
    </row>
    <row r="35" spans="1:22" ht="12" customHeight="1" x14ac:dyDescent="0.4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P35" s="28" t="s">
        <v>40</v>
      </c>
      <c r="Q35" s="30"/>
      <c r="R35" s="30"/>
      <c r="S35" s="30"/>
      <c r="T35" s="30"/>
      <c r="U35" s="30"/>
      <c r="V35" s="31"/>
    </row>
    <row r="36" spans="1:22" ht="14.25" customHeight="1" x14ac:dyDescent="0.45">
      <c r="A36" s="53" t="s">
        <v>41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P36" s="30" t="s">
        <v>42</v>
      </c>
      <c r="Q36" s="31"/>
      <c r="R36" s="31"/>
      <c r="S36" s="31"/>
      <c r="T36" s="31"/>
      <c r="U36" s="31"/>
      <c r="V36" s="31"/>
    </row>
    <row r="37" spans="1:22" ht="13.5" customHeight="1" x14ac:dyDescent="0.45">
      <c r="P37" s="30" t="s">
        <v>43</v>
      </c>
      <c r="Q37" s="31"/>
      <c r="R37" s="31"/>
      <c r="S37" s="31"/>
      <c r="T37" s="31"/>
      <c r="U37" s="31"/>
      <c r="V37" s="31"/>
    </row>
    <row r="38" spans="1:22" ht="15" customHeight="1" x14ac:dyDescent="0.45">
      <c r="A38" s="57" t="s">
        <v>105</v>
      </c>
      <c r="B38" s="57"/>
      <c r="C38" s="58"/>
      <c r="D38" s="58"/>
      <c r="E38" s="58"/>
      <c r="F38" s="58"/>
      <c r="G38" s="58"/>
      <c r="H38" s="31"/>
      <c r="I38" s="31"/>
      <c r="J38" s="31"/>
      <c r="K38" s="31"/>
      <c r="L38" s="31"/>
      <c r="M38" s="31"/>
      <c r="N38" s="31"/>
      <c r="P38" s="31"/>
      <c r="Q38" s="31"/>
      <c r="R38" s="31"/>
      <c r="S38" s="31"/>
      <c r="T38" s="31"/>
      <c r="U38" s="31"/>
      <c r="V38" s="31"/>
    </row>
    <row r="39" spans="1:22" s="20" customFormat="1" ht="21.6" customHeight="1" x14ac:dyDescent="0.3">
      <c r="A39" s="97" t="s">
        <v>106</v>
      </c>
      <c r="B39" s="97"/>
      <c r="C39" s="96"/>
      <c r="D39" s="96"/>
      <c r="E39" s="96"/>
      <c r="F39" s="96"/>
      <c r="G39" s="96"/>
      <c r="H39" s="29"/>
      <c r="I39" s="59"/>
      <c r="J39" s="59"/>
      <c r="K39" s="59"/>
      <c r="L39" s="59"/>
      <c r="M39" s="59"/>
      <c r="N39" s="29"/>
      <c r="P39" s="99" t="s">
        <v>107</v>
      </c>
      <c r="Q39" s="99"/>
      <c r="R39" s="99"/>
      <c r="S39" s="26"/>
      <c r="T39" s="101"/>
      <c r="U39" s="101"/>
      <c r="V39" s="101"/>
    </row>
    <row r="40" spans="1:22" ht="30.6" customHeight="1" x14ac:dyDescent="0.45">
      <c r="A40" s="31"/>
      <c r="B40" s="31"/>
      <c r="C40" s="31"/>
      <c r="D40" s="31"/>
      <c r="E40" s="31"/>
      <c r="F40" s="31"/>
      <c r="G40" s="31"/>
      <c r="H40" s="19"/>
      <c r="I40" s="19"/>
      <c r="J40" s="31"/>
      <c r="K40" s="19" t="s">
        <v>36</v>
      </c>
      <c r="L40" s="19"/>
      <c r="M40" s="19"/>
      <c r="N40" s="19"/>
      <c r="P40" s="53" t="s">
        <v>36</v>
      </c>
      <c r="Q40" s="53"/>
      <c r="R40" s="53"/>
      <c r="S40" s="53"/>
      <c r="T40" s="53" t="s">
        <v>37</v>
      </c>
      <c r="U40" s="53"/>
      <c r="V40" s="53"/>
    </row>
  </sheetData>
  <sheetProtection selectLockedCells="1"/>
  <mergeCells count="102">
    <mergeCell ref="A7:A8"/>
    <mergeCell ref="B7:B8"/>
    <mergeCell ref="C7:C8"/>
    <mergeCell ref="D7:D8"/>
    <mergeCell ref="E7:E8"/>
    <mergeCell ref="C39:G39"/>
    <mergeCell ref="A39:B39"/>
    <mergeCell ref="Q22:V22"/>
    <mergeCell ref="A28:C28"/>
    <mergeCell ref="I31:M31"/>
    <mergeCell ref="A31:F31"/>
    <mergeCell ref="P39:R39"/>
    <mergeCell ref="R29:V29"/>
    <mergeCell ref="E18:J18"/>
    <mergeCell ref="E20:J20"/>
    <mergeCell ref="E22:J22"/>
    <mergeCell ref="E24:J24"/>
    <mergeCell ref="T39:V39"/>
    <mergeCell ref="A3:N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M4:M6"/>
    <mergeCell ref="N4:N8"/>
    <mergeCell ref="O4:O8"/>
    <mergeCell ref="M9:M11"/>
    <mergeCell ref="Q7:U7"/>
    <mergeCell ref="P24:S24"/>
    <mergeCell ref="T24:V24"/>
    <mergeCell ref="Q8:U8"/>
    <mergeCell ref="R11:T13"/>
    <mergeCell ref="M7:M8"/>
    <mergeCell ref="Q4:U4"/>
    <mergeCell ref="Q5:U5"/>
    <mergeCell ref="Q6:U6"/>
    <mergeCell ref="E9:E11"/>
    <mergeCell ref="F9:F11"/>
    <mergeCell ref="G9:G11"/>
    <mergeCell ref="H7:H8"/>
    <mergeCell ref="I7:I8"/>
    <mergeCell ref="J7:J8"/>
    <mergeCell ref="K7:K8"/>
    <mergeCell ref="L7:L8"/>
    <mergeCell ref="F7:F8"/>
    <mergeCell ref="G7:G8"/>
    <mergeCell ref="Q10:U10"/>
    <mergeCell ref="A12:A13"/>
    <mergeCell ref="B12:B13"/>
    <mergeCell ref="C12:C13"/>
    <mergeCell ref="D12:D13"/>
    <mergeCell ref="E12:E13"/>
    <mergeCell ref="F12:F13"/>
    <mergeCell ref="G12:G13"/>
    <mergeCell ref="H12:H13"/>
    <mergeCell ref="H9:H11"/>
    <mergeCell ref="I9:I11"/>
    <mergeCell ref="J9:J11"/>
    <mergeCell ref="K9:K11"/>
    <mergeCell ref="L9:L11"/>
    <mergeCell ref="I12:I13"/>
    <mergeCell ref="J12:J13"/>
    <mergeCell ref="K12:K13"/>
    <mergeCell ref="L12:L13"/>
    <mergeCell ref="M12:M13"/>
    <mergeCell ref="P7:P9"/>
    <mergeCell ref="A9:A11"/>
    <mergeCell ref="B9:B11"/>
    <mergeCell ref="C9:C11"/>
    <mergeCell ref="D9:D11"/>
    <mergeCell ref="A16:M16"/>
    <mergeCell ref="P17:V17"/>
    <mergeCell ref="B26:M26"/>
    <mergeCell ref="B27:M27"/>
    <mergeCell ref="B32:D32"/>
    <mergeCell ref="J32:L32"/>
    <mergeCell ref="D28:G28"/>
    <mergeCell ref="G29:M29"/>
    <mergeCell ref="J28:M28"/>
    <mergeCell ref="H28:I28"/>
    <mergeCell ref="A29:F29"/>
    <mergeCell ref="Q28:S28"/>
    <mergeCell ref="U28:V28"/>
    <mergeCell ref="P29:Q29"/>
    <mergeCell ref="P40:S40"/>
    <mergeCell ref="T40:V40"/>
    <mergeCell ref="A33:F33"/>
    <mergeCell ref="H33:N33"/>
    <mergeCell ref="P33:Q33"/>
    <mergeCell ref="A35:N35"/>
    <mergeCell ref="A36:N36"/>
    <mergeCell ref="A38:B38"/>
    <mergeCell ref="C38:G38"/>
    <mergeCell ref="I39:M39"/>
  </mergeCells>
  <printOptions horizontalCentered="1" verticalCentered="1"/>
  <pageMargins left="0.5" right="0.5" top="0.5" bottom="0.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7"/>
  <dimension ref="A3:AB29"/>
  <sheetViews>
    <sheetView tabSelected="1" view="pageBreakPreview" zoomScale="160" zoomScaleNormal="100" zoomScaleSheetLayoutView="160" workbookViewId="0">
      <selection activeCell="A7" sqref="A7:C7"/>
    </sheetView>
  </sheetViews>
  <sheetFormatPr defaultColWidth="9.109375" defaultRowHeight="16.2" x14ac:dyDescent="0.45"/>
  <cols>
    <col min="1" max="1" width="8" style="1" customWidth="1"/>
    <col min="2" max="2" width="9.109375" style="1"/>
    <col min="3" max="3" width="4" style="1" customWidth="1"/>
    <col min="4" max="4" width="17.88671875" style="1" hidden="1" customWidth="1"/>
    <col min="5" max="13" width="10.88671875" style="1" hidden="1" customWidth="1"/>
    <col min="14" max="17" width="4.88671875" style="1" customWidth="1"/>
    <col min="18" max="18" width="7" style="1" customWidth="1"/>
    <col min="19" max="19" width="7.44140625" style="1" customWidth="1"/>
    <col min="20" max="20" width="10.6640625" style="1" customWidth="1"/>
    <col min="21" max="21" width="11.5546875" style="1" customWidth="1"/>
    <col min="22" max="22" width="7.5546875" style="1" customWidth="1"/>
    <col min="23" max="23" width="8" style="1" customWidth="1"/>
    <col min="24" max="24" width="6" style="1" customWidth="1"/>
    <col min="25" max="28" width="5.6640625" style="1" customWidth="1"/>
    <col min="29" max="35" width="9.109375" style="1"/>
    <col min="36" max="36" width="9.109375" style="1" customWidth="1"/>
    <col min="37" max="16384" width="9.109375" style="1"/>
  </cols>
  <sheetData>
    <row r="3" spans="1:28" s="3" customFormat="1" ht="18" customHeight="1" x14ac:dyDescent="0.45">
      <c r="A3" s="105" t="s">
        <v>44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2"/>
      <c r="U3" s="105" t="s">
        <v>45</v>
      </c>
      <c r="V3" s="105"/>
      <c r="W3" s="105"/>
      <c r="X3" s="105"/>
      <c r="Y3" s="105"/>
      <c r="Z3" s="105"/>
      <c r="AA3" s="105"/>
      <c r="AB3" s="105"/>
    </row>
    <row r="4" spans="1:28" ht="17.399999999999999" x14ac:dyDescent="0.45">
      <c r="S4" s="3"/>
    </row>
    <row r="5" spans="1:28" ht="15" customHeight="1" x14ac:dyDescent="0.45">
      <c r="A5" s="154" t="s">
        <v>46</v>
      </c>
      <c r="B5" s="154"/>
      <c r="C5" s="154"/>
      <c r="D5" s="15"/>
      <c r="E5" s="15"/>
      <c r="F5" s="15"/>
      <c r="G5" s="15"/>
      <c r="H5" s="15"/>
      <c r="I5" s="15"/>
      <c r="J5" s="15"/>
      <c r="K5" s="15"/>
      <c r="L5" s="15"/>
      <c r="M5" s="15"/>
      <c r="N5" s="155" t="s">
        <v>47</v>
      </c>
      <c r="O5" s="155"/>
      <c r="P5" s="155"/>
      <c r="Q5" s="156"/>
      <c r="R5" s="157" t="s">
        <v>48</v>
      </c>
      <c r="S5" s="159" t="s">
        <v>49</v>
      </c>
      <c r="U5" s="161" t="s">
        <v>50</v>
      </c>
      <c r="V5" s="155" t="s">
        <v>51</v>
      </c>
      <c r="W5" s="155"/>
      <c r="X5" s="155"/>
      <c r="Y5" s="155" t="s">
        <v>47</v>
      </c>
      <c r="Z5" s="155"/>
      <c r="AA5" s="155"/>
      <c r="AB5" s="155"/>
    </row>
    <row r="6" spans="1:28" ht="20.399999999999999" x14ac:dyDescent="0.55000000000000004">
      <c r="A6" s="154"/>
      <c r="B6" s="154"/>
      <c r="C6" s="154"/>
      <c r="D6" s="15"/>
      <c r="E6" s="15" t="s">
        <v>52</v>
      </c>
      <c r="F6" s="15" t="s">
        <v>53</v>
      </c>
      <c r="G6" s="15" t="s">
        <v>54</v>
      </c>
      <c r="H6" s="15" t="s">
        <v>55</v>
      </c>
      <c r="I6" s="15" t="s">
        <v>56</v>
      </c>
      <c r="J6" s="15" t="s">
        <v>57</v>
      </c>
      <c r="K6" s="15" t="s">
        <v>58</v>
      </c>
      <c r="L6" s="15" t="s">
        <v>59</v>
      </c>
      <c r="M6" s="15" t="s">
        <v>60</v>
      </c>
      <c r="N6" s="6">
        <v>1</v>
      </c>
      <c r="O6" s="6">
        <v>2</v>
      </c>
      <c r="P6" s="6">
        <v>3</v>
      </c>
      <c r="Q6" s="4">
        <v>4</v>
      </c>
      <c r="R6" s="158"/>
      <c r="S6" s="160"/>
      <c r="U6" s="161"/>
      <c r="V6" s="155"/>
      <c r="W6" s="155"/>
      <c r="X6" s="155"/>
      <c r="Y6" s="6">
        <v>1</v>
      </c>
      <c r="Z6" s="6">
        <v>2</v>
      </c>
      <c r="AA6" s="6">
        <v>3</v>
      </c>
      <c r="AB6" s="6">
        <v>4</v>
      </c>
    </row>
    <row r="7" spans="1:28" ht="17.25" customHeight="1" x14ac:dyDescent="0.45">
      <c r="A7" s="142"/>
      <c r="B7" s="142"/>
      <c r="C7" s="142"/>
      <c r="D7" s="14" t="e">
        <f>IF(#REF!="GRADE-7","FILIPINO7",IF(#REF!="GRADE-8","FILIPINO8",IF(#REF!="GRADE-9","FILIPINO9",IF(#REF!="GRADE-10","FILIPINO10",""))))</f>
        <v>#REF!</v>
      </c>
      <c r="E7" s="14" t="e">
        <f>#REF!</f>
        <v>#REF!</v>
      </c>
      <c r="F7" s="14" t="e">
        <f>#REF!</f>
        <v>#REF!</v>
      </c>
      <c r="G7" s="14" t="e">
        <f>#REF!</f>
        <v>#REF!</v>
      </c>
      <c r="H7" s="14" t="e">
        <f>#REF!</f>
        <v>#REF!</v>
      </c>
      <c r="I7" s="14" t="e">
        <f>#REF!</f>
        <v>#REF!</v>
      </c>
      <c r="J7" s="14" t="e">
        <f>IF(#REF!="GRADE-7","7",IF(#REF!="GRADE-8","8",IF(#REF!="GRADE-9","9",IF(#REF!="GRADE-10","10",""))))</f>
        <v>#REF!</v>
      </c>
      <c r="K7" s="14" t="e">
        <f>#REF!</f>
        <v>#REF!</v>
      </c>
      <c r="L7" s="14" t="e">
        <f>#REF!</f>
        <v>#REF!</v>
      </c>
      <c r="M7" s="14" t="e">
        <f>#REF!</f>
        <v>#REF!</v>
      </c>
      <c r="N7" s="12"/>
      <c r="O7" s="12"/>
      <c r="P7" s="12"/>
      <c r="Q7" s="12"/>
      <c r="R7" s="12"/>
      <c r="S7" s="12"/>
      <c r="T7" s="5"/>
      <c r="U7" s="108" t="s">
        <v>61</v>
      </c>
      <c r="V7" s="145" t="s">
        <v>62</v>
      </c>
      <c r="W7" s="146"/>
      <c r="X7" s="147"/>
      <c r="Y7" s="127"/>
      <c r="Z7" s="127"/>
      <c r="AA7" s="127"/>
      <c r="AB7" s="127"/>
    </row>
    <row r="8" spans="1:28" ht="17.25" customHeight="1" x14ac:dyDescent="0.45">
      <c r="A8" s="162"/>
      <c r="B8" s="162"/>
      <c r="C8" s="162"/>
      <c r="D8" s="14" t="e">
        <f>IF(#REF!="GRADE-7","ENGLISH7",IF(#REF!="GRADE-8","ENGLISH8",IF(#REF!="GRADE-9","ENGLISH9",IF(#REF!="GRADE-10","ENGLISH10",""))))</f>
        <v>#REF!</v>
      </c>
      <c r="E8" s="14" t="e">
        <f>#REF!</f>
        <v>#REF!</v>
      </c>
      <c r="F8" s="14" t="e">
        <f>#REF!</f>
        <v>#REF!</v>
      </c>
      <c r="G8" s="14" t="e">
        <f>#REF!</f>
        <v>#REF!</v>
      </c>
      <c r="H8" s="14" t="e">
        <f>#REF!</f>
        <v>#REF!</v>
      </c>
      <c r="I8" s="14" t="e">
        <f>#REF!</f>
        <v>#REF!</v>
      </c>
      <c r="J8" s="14" t="e">
        <f>IF(#REF!="GRADE-7","7",IF(#REF!="GRADE-8","8",IF(#REF!="GRADE-9","9",IF(#REF!="GRADE-10","10",""))))</f>
        <v>#REF!</v>
      </c>
      <c r="K8" s="14" t="e">
        <f>#REF!</f>
        <v>#REF!</v>
      </c>
      <c r="L8" s="14" t="e">
        <f>#REF!</f>
        <v>#REF!</v>
      </c>
      <c r="M8" s="14" t="e">
        <f>#REF!</f>
        <v>#REF!</v>
      </c>
      <c r="N8" s="12"/>
      <c r="O8" s="12"/>
      <c r="P8" s="12"/>
      <c r="Q8" s="12"/>
      <c r="R8" s="12"/>
      <c r="S8" s="12"/>
      <c r="T8" s="5"/>
      <c r="U8" s="143"/>
      <c r="V8" s="148"/>
      <c r="W8" s="149"/>
      <c r="X8" s="150"/>
      <c r="Y8" s="128"/>
      <c r="Z8" s="128"/>
      <c r="AA8" s="128"/>
      <c r="AB8" s="128"/>
    </row>
    <row r="9" spans="1:28" ht="16.2" customHeight="1" x14ac:dyDescent="0.45">
      <c r="A9" s="136"/>
      <c r="B9" s="137"/>
      <c r="C9" s="138"/>
      <c r="D9" s="38" t="e">
        <f>IF(#REF!="GRADE-7","MATHEMATICS7",IF(#REF!="GRADE-8","MATHEMATICS8",IF(#REF!="GRADE-9","MATHEMATICS9",IF(#REF!="GRADE-10","MATHEMATICS10",""))))</f>
        <v>#REF!</v>
      </c>
      <c r="E9" s="42" t="e">
        <f>#REF!</f>
        <v>#REF!</v>
      </c>
      <c r="F9" s="42" t="e">
        <f>#REF!</f>
        <v>#REF!</v>
      </c>
      <c r="G9" s="42" t="e">
        <f>#REF!</f>
        <v>#REF!</v>
      </c>
      <c r="H9" s="42" t="e">
        <f>#REF!</f>
        <v>#REF!</v>
      </c>
      <c r="I9" s="42" t="e">
        <f>#REF!</f>
        <v>#REF!</v>
      </c>
      <c r="J9" s="42" t="e">
        <f>IF(#REF!="GRADE-7","7",IF(#REF!="GRADE-8","8",IF(#REF!="GRADE-9","9",IF(#REF!="GRADE-10","10",""))))</f>
        <v>#REF!</v>
      </c>
      <c r="K9" s="42" t="e">
        <f>#REF!</f>
        <v>#REF!</v>
      </c>
      <c r="L9" s="42" t="e">
        <f>#REF!</f>
        <v>#REF!</v>
      </c>
      <c r="M9" s="42" t="e">
        <f>#REF!</f>
        <v>#REF!</v>
      </c>
      <c r="N9" s="44"/>
      <c r="O9" s="44"/>
      <c r="P9" s="44"/>
      <c r="Q9" s="44"/>
      <c r="R9" s="44"/>
      <c r="S9" s="44"/>
      <c r="T9" s="5"/>
      <c r="U9" s="143"/>
      <c r="V9" s="151"/>
      <c r="W9" s="152"/>
      <c r="X9" s="153"/>
      <c r="Y9" s="129"/>
      <c r="Z9" s="129"/>
      <c r="AA9" s="129"/>
      <c r="AB9" s="129"/>
    </row>
    <row r="10" spans="1:28" ht="13.8" customHeight="1" x14ac:dyDescent="0.45">
      <c r="A10" s="139"/>
      <c r="B10" s="140"/>
      <c r="C10" s="141"/>
      <c r="D10" s="39"/>
      <c r="E10" s="43"/>
      <c r="F10" s="43"/>
      <c r="G10" s="43"/>
      <c r="H10" s="43"/>
      <c r="I10" s="43"/>
      <c r="J10" s="43"/>
      <c r="K10" s="43"/>
      <c r="L10" s="43"/>
      <c r="M10" s="43"/>
      <c r="N10" s="45"/>
      <c r="O10" s="45"/>
      <c r="P10" s="45"/>
      <c r="Q10" s="45"/>
      <c r="R10" s="45"/>
      <c r="S10" s="45"/>
      <c r="T10" s="5"/>
      <c r="U10" s="143"/>
      <c r="V10" s="111" t="s">
        <v>63</v>
      </c>
      <c r="W10" s="112"/>
      <c r="X10" s="113"/>
      <c r="Y10" s="107"/>
      <c r="Z10" s="107"/>
      <c r="AA10" s="107"/>
      <c r="AB10" s="107"/>
    </row>
    <row r="11" spans="1:28" ht="17.25" customHeight="1" x14ac:dyDescent="0.45">
      <c r="A11" s="162"/>
      <c r="B11" s="162"/>
      <c r="C11" s="162"/>
      <c r="D11" s="14" t="e">
        <f>IF(#REF!="GRADE-7","SCIENCE7",IF(#REF!="GRADE-8","SCIENCE8",IF(#REF!="GRADE-9","SCIENCE9",IF(#REF!="GRADE-10","SCIENCE10",""))))</f>
        <v>#REF!</v>
      </c>
      <c r="E11" s="14" t="e">
        <f>#REF!</f>
        <v>#REF!</v>
      </c>
      <c r="F11" s="14" t="e">
        <f>#REF!</f>
        <v>#REF!</v>
      </c>
      <c r="G11" s="14" t="e">
        <f>#REF!</f>
        <v>#REF!</v>
      </c>
      <c r="H11" s="14" t="e">
        <f>#REF!</f>
        <v>#REF!</v>
      </c>
      <c r="I11" s="14" t="e">
        <f>#REF!</f>
        <v>#REF!</v>
      </c>
      <c r="J11" s="14" t="e">
        <f>IF(#REF!="GRADE-7","7",IF(#REF!="GRADE-8","8",IF(#REF!="GRADE-9","9",IF(#REF!="GRADE-10","10",""))))</f>
        <v>#REF!</v>
      </c>
      <c r="K11" s="14" t="e">
        <f>#REF!</f>
        <v>#REF!</v>
      </c>
      <c r="L11" s="14" t="e">
        <f>#REF!</f>
        <v>#REF!</v>
      </c>
      <c r="M11" s="14" t="e">
        <f>#REF!</f>
        <v>#REF!</v>
      </c>
      <c r="N11" s="12"/>
      <c r="O11" s="12"/>
      <c r="P11" s="12"/>
      <c r="Q11" s="12"/>
      <c r="R11" s="12"/>
      <c r="S11" s="12"/>
      <c r="T11" s="5"/>
      <c r="U11" s="143"/>
      <c r="V11" s="130"/>
      <c r="W11" s="131"/>
      <c r="X11" s="132"/>
      <c r="Y11" s="107"/>
      <c r="Z11" s="107"/>
      <c r="AA11" s="107"/>
      <c r="AB11" s="107"/>
    </row>
    <row r="12" spans="1:28" ht="20.25" customHeight="1" x14ac:dyDescent="0.45">
      <c r="A12" s="162"/>
      <c r="B12" s="162"/>
      <c r="C12" s="162"/>
      <c r="D12" s="14" t="e">
        <f>IF(#REF!="GRADE-7","AP7",IF(#REF!="GRADE-8","AP8",IF(#REF!="GRADE-9","AP9",IF(#REF!="GRADE-10","AP10",""))))</f>
        <v>#REF!</v>
      </c>
      <c r="E12" s="14" t="e">
        <f>#REF!</f>
        <v>#REF!</v>
      </c>
      <c r="F12" s="14" t="e">
        <f>#REF!</f>
        <v>#REF!</v>
      </c>
      <c r="G12" s="14" t="e">
        <f>#REF!</f>
        <v>#REF!</v>
      </c>
      <c r="H12" s="14" t="e">
        <f>#REF!</f>
        <v>#REF!</v>
      </c>
      <c r="I12" s="14" t="e">
        <f>#REF!</f>
        <v>#REF!</v>
      </c>
      <c r="J12" s="14" t="e">
        <f>IF(#REF!="GRADE-7","7",IF(#REF!="GRADE-8","8",IF(#REF!="GRADE-9","9",IF(#REF!="GRADE-10","10",""))))</f>
        <v>#REF!</v>
      </c>
      <c r="K12" s="14" t="e">
        <f>#REF!</f>
        <v>#REF!</v>
      </c>
      <c r="L12" s="14" t="e">
        <f>#REF!</f>
        <v>#REF!</v>
      </c>
      <c r="M12" s="14" t="e">
        <f>#REF!</f>
        <v>#REF!</v>
      </c>
      <c r="N12" s="12"/>
      <c r="O12" s="12"/>
      <c r="P12" s="12"/>
      <c r="Q12" s="12"/>
      <c r="R12" s="12"/>
      <c r="S12" s="12"/>
      <c r="T12" s="5"/>
      <c r="U12" s="144"/>
      <c r="V12" s="114"/>
      <c r="W12" s="115"/>
      <c r="X12" s="116"/>
      <c r="Y12" s="107"/>
      <c r="Z12" s="107"/>
      <c r="AA12" s="107"/>
      <c r="AB12" s="107"/>
    </row>
    <row r="13" spans="1:28" ht="16.5" customHeight="1" x14ac:dyDescent="0.45">
      <c r="A13" s="133"/>
      <c r="B13" s="134"/>
      <c r="C13" s="135"/>
      <c r="D13" s="40" t="e">
        <f>IF(#REF!="GRADE-7","ESP7",IF(#REF!="GRADE-8","ESP8",IF(#REF!="GRADE-9","ESP9",IF(#REF!="GRADE-10","ESP10",""))))</f>
        <v>#REF!</v>
      </c>
      <c r="E13" s="48" t="e">
        <f>#REF!</f>
        <v>#REF!</v>
      </c>
      <c r="F13" s="48" t="e">
        <f>#REF!</f>
        <v>#REF!</v>
      </c>
      <c r="G13" s="48" t="e">
        <f>#REF!</f>
        <v>#REF!</v>
      </c>
      <c r="H13" s="48" t="e">
        <f>#REF!</f>
        <v>#REF!</v>
      </c>
      <c r="I13" s="48" t="e">
        <f>#REF!</f>
        <v>#REF!</v>
      </c>
      <c r="J13" s="48" t="e">
        <f>IF(#REF!="GRADE-7","7",IF(#REF!="GRADE-8","8",IF(#REF!="GRADE-9","9",IF(#REF!="GRADE-10","10",""))))</f>
        <v>#REF!</v>
      </c>
      <c r="K13" s="48" t="e">
        <f>#REF!</f>
        <v>#REF!</v>
      </c>
      <c r="L13" s="48" t="e">
        <f>#REF!</f>
        <v>#REF!</v>
      </c>
      <c r="M13" s="48" t="e">
        <f>#REF!</f>
        <v>#REF!</v>
      </c>
      <c r="N13" s="12"/>
      <c r="O13" s="12"/>
      <c r="P13" s="12"/>
      <c r="Q13" s="12"/>
      <c r="R13" s="12"/>
      <c r="S13" s="44"/>
      <c r="U13" s="108" t="s">
        <v>64</v>
      </c>
      <c r="V13" s="118" t="s">
        <v>65</v>
      </c>
      <c r="W13" s="119"/>
      <c r="X13" s="120"/>
      <c r="Y13" s="127"/>
      <c r="Z13" s="127"/>
      <c r="AA13" s="127"/>
      <c r="AB13" s="127"/>
    </row>
    <row r="14" spans="1:28" ht="20.25" customHeight="1" x14ac:dyDescent="0.45">
      <c r="A14" s="133"/>
      <c r="B14" s="134"/>
      <c r="C14" s="135"/>
      <c r="D14" s="41"/>
      <c r="E14" s="49"/>
      <c r="F14" s="49"/>
      <c r="G14" s="49"/>
      <c r="H14" s="49"/>
      <c r="I14" s="49"/>
      <c r="J14" s="49"/>
      <c r="K14" s="49"/>
      <c r="L14" s="49"/>
      <c r="M14" s="49"/>
      <c r="N14" s="12"/>
      <c r="O14" s="12"/>
      <c r="P14" s="12"/>
      <c r="Q14" s="12"/>
      <c r="R14" s="12"/>
      <c r="S14" s="45"/>
      <c r="U14" s="109"/>
      <c r="V14" s="121"/>
      <c r="W14" s="122"/>
      <c r="X14" s="123"/>
      <c r="Y14" s="128"/>
      <c r="Z14" s="128"/>
      <c r="AA14" s="128"/>
      <c r="AB14" s="128"/>
    </row>
    <row r="15" spans="1:28" ht="16.8" customHeight="1" x14ac:dyDescent="0.45">
      <c r="A15" s="163"/>
      <c r="B15" s="164"/>
      <c r="C15" s="165"/>
      <c r="D15" s="46" t="e">
        <f>IF(#REF!="GRADE-7","TLE7",IF(#REF!="GRADE-8","TLE8",IF(#REF!="GRADE-9","TLE9",IF(#REF!="GRADE-10","TLE10",""))))</f>
        <v>#REF!</v>
      </c>
      <c r="E15" s="50" t="e">
        <f>#REF!</f>
        <v>#REF!</v>
      </c>
      <c r="F15" s="50" t="e">
        <f>#REF!</f>
        <v>#REF!</v>
      </c>
      <c r="G15" s="50" t="e">
        <f>#REF!</f>
        <v>#REF!</v>
      </c>
      <c r="H15" s="50" t="e">
        <f>#REF!</f>
        <v>#REF!</v>
      </c>
      <c r="I15" s="50" t="e">
        <f>#REF!</f>
        <v>#REF!</v>
      </c>
      <c r="J15" s="50" t="e">
        <f>IF(#REF!="GRADE-7","7",IF(#REF!="GRADE-8","8",IF(#REF!="GRADE-9","9",IF(#REF!="GRADE-10","10",""))))</f>
        <v>#REF!</v>
      </c>
      <c r="K15" s="50" t="e">
        <f>#REF!</f>
        <v>#REF!</v>
      </c>
      <c r="L15" s="50" t="e">
        <f>#REF!</f>
        <v>#REF!</v>
      </c>
      <c r="M15" s="50" t="e">
        <f>#REF!</f>
        <v>#REF!</v>
      </c>
      <c r="N15" s="12"/>
      <c r="O15" s="12"/>
      <c r="P15" s="12"/>
      <c r="Q15" s="12"/>
      <c r="R15" s="12"/>
      <c r="S15" s="44"/>
      <c r="U15" s="109"/>
      <c r="V15" s="124"/>
      <c r="W15" s="125"/>
      <c r="X15" s="126"/>
      <c r="Y15" s="129"/>
      <c r="Z15" s="129"/>
      <c r="AA15" s="129"/>
      <c r="AB15" s="129"/>
    </row>
    <row r="16" spans="1:28" ht="21" customHeight="1" x14ac:dyDescent="0.45">
      <c r="A16" s="163"/>
      <c r="B16" s="164"/>
      <c r="C16" s="165"/>
      <c r="D16" s="47"/>
      <c r="E16" s="51"/>
      <c r="F16" s="51"/>
      <c r="G16" s="51"/>
      <c r="H16" s="51"/>
      <c r="I16" s="51"/>
      <c r="J16" s="51"/>
      <c r="K16" s="51"/>
      <c r="L16" s="51"/>
      <c r="M16" s="51"/>
      <c r="N16" s="12"/>
      <c r="O16" s="12"/>
      <c r="P16" s="12"/>
      <c r="Q16" s="12"/>
      <c r="R16" s="12"/>
      <c r="S16" s="45"/>
      <c r="U16" s="109"/>
      <c r="V16" s="111" t="s">
        <v>66</v>
      </c>
      <c r="W16" s="112"/>
      <c r="X16" s="113"/>
      <c r="Y16" s="107"/>
      <c r="Z16" s="107"/>
      <c r="AA16" s="107"/>
      <c r="AB16" s="107"/>
    </row>
    <row r="17" spans="1:28" ht="19.5" customHeight="1" x14ac:dyDescent="0.45">
      <c r="A17" s="133"/>
      <c r="B17" s="134"/>
      <c r="C17" s="135"/>
      <c r="D17" s="13" t="e">
        <f>IF(#REF!="GRADE-7","MAPEH7",IF(#REF!="GRADE-8","MAPEH8",IF(#REF!="GRADE-9","MAPEH9",IF(#REF!="GRADE-10","MAPEH10",""))))</f>
        <v>#REF!</v>
      </c>
      <c r="E17" s="13" t="e">
        <f>#REF!</f>
        <v>#REF!</v>
      </c>
      <c r="F17" s="13" t="e">
        <f>#REF!</f>
        <v>#REF!</v>
      </c>
      <c r="G17" s="13" t="e">
        <f>#REF!</f>
        <v>#REF!</v>
      </c>
      <c r="H17" s="13" t="e">
        <f>#REF!</f>
        <v>#REF!</v>
      </c>
      <c r="I17" s="13" t="e">
        <f>#REF!</f>
        <v>#REF!</v>
      </c>
      <c r="J17" s="13" t="e">
        <f>IF(#REF!="GRADE-7","7",IF(#REF!="GRADE-8","8",IF(#REF!="GRADE-9","9",IF(#REF!="GRADE-10","10",""))))</f>
        <v>#REF!</v>
      </c>
      <c r="K17" s="13" t="e">
        <f>#REF!</f>
        <v>#REF!</v>
      </c>
      <c r="L17" s="13" t="e">
        <f>#REF!</f>
        <v>#REF!</v>
      </c>
      <c r="M17" s="13" t="e">
        <f>#REF!</f>
        <v>#REF!</v>
      </c>
      <c r="N17" s="12"/>
      <c r="O17" s="12"/>
      <c r="P17" s="12"/>
      <c r="Q17" s="12"/>
      <c r="R17" s="12"/>
      <c r="S17" s="12"/>
      <c r="U17" s="110"/>
      <c r="V17" s="114"/>
      <c r="W17" s="115"/>
      <c r="X17" s="116"/>
      <c r="Y17" s="107"/>
      <c r="Z17" s="107"/>
      <c r="AA17" s="107"/>
      <c r="AB17" s="107"/>
    </row>
    <row r="18" spans="1:28" ht="17.25" customHeight="1" x14ac:dyDescent="0.45">
      <c r="A18" s="166"/>
      <c r="B18" s="167"/>
      <c r="C18" s="168"/>
      <c r="D18" s="11" t="e">
        <f>IF(#REF!="GRADE-7","MUSIC7",IF(#REF!="GRADE-8","MUSIC8",IF(#REF!="GRADE-9","MUSIC9",IF(#REF!="GRADE-10","MUSIC10",""))))</f>
        <v>#REF!</v>
      </c>
      <c r="E18" s="13" t="e">
        <f>#REF!</f>
        <v>#REF!</v>
      </c>
      <c r="F18" s="11" t="e">
        <f>#REF!</f>
        <v>#REF!</v>
      </c>
      <c r="G18" s="11" t="e">
        <f>#REF!</f>
        <v>#REF!</v>
      </c>
      <c r="H18" s="11" t="e">
        <f>#REF!</f>
        <v>#REF!</v>
      </c>
      <c r="I18" s="11" t="e">
        <f>#REF!</f>
        <v>#REF!</v>
      </c>
      <c r="J18" s="11" t="e">
        <f>IF(#REF!="GRADE-7","7",IF(#REF!="GRADE-8","8",IF(#REF!="GRADE-9","9",IF(#REF!="GRADE-10","10",""))))</f>
        <v>#REF!</v>
      </c>
      <c r="K18" s="11" t="e">
        <f>#REF!</f>
        <v>#REF!</v>
      </c>
      <c r="L18" s="11" t="e">
        <f>#REF!</f>
        <v>#REF!</v>
      </c>
      <c r="M18" s="11" t="e">
        <f>#REF!</f>
        <v>#REF!</v>
      </c>
      <c r="N18" s="12"/>
      <c r="O18" s="12"/>
      <c r="P18" s="12"/>
      <c r="Q18" s="12"/>
      <c r="R18" s="9"/>
      <c r="S18" s="9"/>
      <c r="U18" s="108" t="s">
        <v>67</v>
      </c>
      <c r="V18" s="111" t="s">
        <v>68</v>
      </c>
      <c r="W18" s="112"/>
      <c r="X18" s="113"/>
      <c r="Y18" s="107"/>
      <c r="Z18" s="107"/>
      <c r="AA18" s="107"/>
      <c r="AB18" s="107"/>
    </row>
    <row r="19" spans="1:28" ht="27" customHeight="1" x14ac:dyDescent="0.45">
      <c r="A19" s="166"/>
      <c r="B19" s="167"/>
      <c r="C19" s="168"/>
      <c r="D19" s="11" t="e">
        <f>IF(#REF!="GRADE-7","ARTS7",IF(#REF!="GRADE-8","ARTS8",IF(#REF!="GRADE-9","ARTS9",IF(#REF!="GRADE-10","ARTS10",""))))</f>
        <v>#REF!</v>
      </c>
      <c r="E19" s="13" t="e">
        <f>#REF!</f>
        <v>#REF!</v>
      </c>
      <c r="F19" s="11" t="e">
        <f>#REF!</f>
        <v>#REF!</v>
      </c>
      <c r="G19" s="11" t="e">
        <f>#REF!</f>
        <v>#REF!</v>
      </c>
      <c r="H19" s="11" t="e">
        <f>#REF!</f>
        <v>#REF!</v>
      </c>
      <c r="I19" s="11" t="e">
        <f>#REF!</f>
        <v>#REF!</v>
      </c>
      <c r="J19" s="11" t="e">
        <f>IF(#REF!="GRADE-7","7",IF(#REF!="GRADE-8","8",IF(#REF!="GRADE-9","9",IF(#REF!="GRADE-10","10",""))))</f>
        <v>#REF!</v>
      </c>
      <c r="K19" s="11" t="e">
        <f>#REF!</f>
        <v>#REF!</v>
      </c>
      <c r="L19" s="11" t="e">
        <f>#REF!</f>
        <v>#REF!</v>
      </c>
      <c r="M19" s="11" t="e">
        <f>#REF!</f>
        <v>#REF!</v>
      </c>
      <c r="N19" s="12"/>
      <c r="O19" s="12"/>
      <c r="P19" s="12"/>
      <c r="Q19" s="12"/>
      <c r="R19" s="9"/>
      <c r="S19" s="9"/>
      <c r="U19" s="110"/>
      <c r="V19" s="114"/>
      <c r="W19" s="115"/>
      <c r="X19" s="116"/>
      <c r="Y19" s="107"/>
      <c r="Z19" s="107"/>
      <c r="AA19" s="107"/>
      <c r="AB19" s="107"/>
    </row>
    <row r="20" spans="1:28" ht="17.25" customHeight="1" x14ac:dyDescent="0.45">
      <c r="A20" s="169"/>
      <c r="B20" s="102"/>
      <c r="C20" s="103"/>
      <c r="D20" s="7" t="e">
        <f>IF(#REF!="GRADE-7","PE7",IF(#REF!="GRADE-8","PE8",IF(#REF!="GRADE-9","PE9",IF(#REF!="GRADE-10","PE10",""))))</f>
        <v>#REF!</v>
      </c>
      <c r="E20" s="13" t="e">
        <f>#REF!</f>
        <v>#REF!</v>
      </c>
      <c r="F20" s="7" t="e">
        <f>#REF!</f>
        <v>#REF!</v>
      </c>
      <c r="G20" s="7" t="e">
        <f>#REF!</f>
        <v>#REF!</v>
      </c>
      <c r="H20" s="7" t="e">
        <f>#REF!</f>
        <v>#REF!</v>
      </c>
      <c r="I20" s="7" t="e">
        <f>#REF!</f>
        <v>#REF!</v>
      </c>
      <c r="J20" s="7" t="e">
        <f>IF(#REF!="GRADE-7","7",IF(#REF!="GRADE-8","8",IF(#REF!="GRADE-9","9",IF(#REF!="GRADE-10","10",""))))</f>
        <v>#REF!</v>
      </c>
      <c r="K20" s="7" t="e">
        <f>#REF!</f>
        <v>#REF!</v>
      </c>
      <c r="L20" s="7" t="e">
        <f>#REF!</f>
        <v>#REF!</v>
      </c>
      <c r="M20" s="7" t="e">
        <f>#REF!</f>
        <v>#REF!</v>
      </c>
      <c r="N20" s="12"/>
      <c r="O20" s="12"/>
      <c r="P20" s="12"/>
      <c r="Q20" s="12"/>
      <c r="R20" s="9"/>
      <c r="S20" s="9"/>
      <c r="U20" s="108" t="s">
        <v>69</v>
      </c>
      <c r="V20" s="111" t="s">
        <v>70</v>
      </c>
      <c r="W20" s="112"/>
      <c r="X20" s="113"/>
      <c r="Y20" s="107"/>
      <c r="Z20" s="107"/>
      <c r="AA20" s="107"/>
      <c r="AB20" s="107"/>
    </row>
    <row r="21" spans="1:28" ht="28.5" customHeight="1" x14ac:dyDescent="0.45">
      <c r="A21" s="169"/>
      <c r="B21" s="102"/>
      <c r="C21" s="103"/>
      <c r="D21" s="11" t="e">
        <f>IF(#REF!="GRADE-7","HEALTH7",IF(#REF!="GRADE-8","HEALTH8",IF(#REF!="GRADE-9","HEALTH9",IF(#REF!="GRADE-10","HEALTH10",""))))</f>
        <v>#REF!</v>
      </c>
      <c r="E21" s="13" t="e">
        <f>#REF!</f>
        <v>#REF!</v>
      </c>
      <c r="F21" s="11" t="e">
        <f>#REF!</f>
        <v>#REF!</v>
      </c>
      <c r="G21" s="11" t="e">
        <f>#REF!</f>
        <v>#REF!</v>
      </c>
      <c r="H21" s="11" t="e">
        <f>#REF!</f>
        <v>#REF!</v>
      </c>
      <c r="I21" s="11" t="e">
        <f>#REF!</f>
        <v>#REF!</v>
      </c>
      <c r="J21" s="11" t="e">
        <f>IF(#REF!="GRADE-7","7",IF(#REF!="GRADE-8","8",IF(#REF!="GRADE-9","9",IF(#REF!="GRADE-10","10",""))))</f>
        <v>#REF!</v>
      </c>
      <c r="K21" s="11" t="e">
        <f>#REF!</f>
        <v>#REF!</v>
      </c>
      <c r="L21" s="11" t="e">
        <f>#REF!</f>
        <v>#REF!</v>
      </c>
      <c r="M21" s="11" t="e">
        <f>#REF!</f>
        <v>#REF!</v>
      </c>
      <c r="N21" s="12"/>
      <c r="O21" s="12"/>
      <c r="P21" s="12"/>
      <c r="Q21" s="12"/>
      <c r="R21" s="9"/>
      <c r="S21" s="9"/>
      <c r="U21" s="109"/>
      <c r="V21" s="114"/>
      <c r="W21" s="115"/>
      <c r="X21" s="116"/>
      <c r="Y21" s="107"/>
      <c r="Z21" s="107"/>
      <c r="AA21" s="107"/>
      <c r="AB21" s="107"/>
    </row>
    <row r="22" spans="1:28" x14ac:dyDescent="0.45">
      <c r="D22" s="1" t="e">
        <f>IF(#REF!="GRADE-7","GEN7",IF(#REF!="GRADE-8","GEN8",IF(#REF!="GRADE-9","GEN9",IF(#REF!="GRADE-10","GEN10",""))))</f>
        <v>#REF!</v>
      </c>
      <c r="N22" s="106" t="s">
        <v>71</v>
      </c>
      <c r="O22" s="106"/>
      <c r="P22" s="106"/>
      <c r="Q22" s="106"/>
      <c r="R22" s="8"/>
      <c r="U22" s="109"/>
      <c r="V22" s="111" t="s">
        <v>72</v>
      </c>
      <c r="W22" s="112"/>
      <c r="X22" s="113"/>
      <c r="Y22" s="117"/>
      <c r="Z22" s="117"/>
      <c r="AA22" s="117"/>
      <c r="AB22" s="117"/>
    </row>
    <row r="23" spans="1:28" ht="27" customHeight="1" x14ac:dyDescent="0.45">
      <c r="U23" s="110"/>
      <c r="V23" s="114"/>
      <c r="W23" s="115"/>
      <c r="X23" s="116"/>
      <c r="Y23" s="117"/>
      <c r="Z23" s="117"/>
      <c r="AA23" s="117"/>
      <c r="AB23" s="117"/>
    </row>
    <row r="24" spans="1:28" ht="15" customHeight="1" x14ac:dyDescent="0.45">
      <c r="A24" s="2" t="s">
        <v>73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05" t="s">
        <v>74</v>
      </c>
      <c r="O24" s="105"/>
      <c r="P24" s="105"/>
      <c r="Q24" s="105"/>
      <c r="R24" s="105" t="s">
        <v>49</v>
      </c>
      <c r="S24" s="105"/>
      <c r="T24" s="3"/>
      <c r="U24" s="3"/>
      <c r="V24" s="3"/>
      <c r="W24" s="3"/>
      <c r="X24" s="3"/>
      <c r="Y24" s="3"/>
      <c r="Z24" s="3"/>
      <c r="AA24" s="3"/>
    </row>
    <row r="25" spans="1:28" ht="15" customHeight="1" x14ac:dyDescent="0.45">
      <c r="A25" s="3" t="s">
        <v>75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104" t="s">
        <v>76</v>
      </c>
      <c r="O25" s="104"/>
      <c r="P25" s="104"/>
      <c r="Q25" s="104"/>
      <c r="R25" s="104" t="s">
        <v>77</v>
      </c>
      <c r="S25" s="104"/>
      <c r="T25" s="3"/>
      <c r="U25" s="3"/>
      <c r="V25" s="2" t="s">
        <v>78</v>
      </c>
      <c r="W25" s="3"/>
      <c r="X25" s="2" t="s">
        <v>79</v>
      </c>
      <c r="Y25" s="3"/>
      <c r="Z25" s="3"/>
      <c r="AA25" s="3"/>
    </row>
    <row r="26" spans="1:28" ht="15" customHeight="1" x14ac:dyDescent="0.45">
      <c r="A26" s="3" t="s">
        <v>80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104" t="s">
        <v>81</v>
      </c>
      <c r="O26" s="104"/>
      <c r="P26" s="104"/>
      <c r="Q26" s="104"/>
      <c r="R26" s="104" t="s">
        <v>77</v>
      </c>
      <c r="S26" s="104"/>
      <c r="T26" s="3"/>
      <c r="U26" s="3"/>
      <c r="V26" s="10" t="s">
        <v>82</v>
      </c>
      <c r="W26" s="3"/>
      <c r="X26" s="3" t="s">
        <v>83</v>
      </c>
      <c r="Y26" s="3"/>
      <c r="Z26" s="3"/>
      <c r="AA26" s="3"/>
    </row>
    <row r="27" spans="1:28" ht="15" customHeight="1" x14ac:dyDescent="0.45">
      <c r="A27" s="3" t="s">
        <v>84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104" t="s">
        <v>85</v>
      </c>
      <c r="O27" s="104"/>
      <c r="P27" s="104"/>
      <c r="Q27" s="104"/>
      <c r="R27" s="104" t="s">
        <v>77</v>
      </c>
      <c r="S27" s="104"/>
      <c r="T27" s="3"/>
      <c r="U27" s="3"/>
      <c r="V27" s="10" t="s">
        <v>86</v>
      </c>
      <c r="W27" s="3"/>
      <c r="X27" s="3" t="s">
        <v>87</v>
      </c>
      <c r="Y27" s="3"/>
      <c r="Z27" s="3"/>
      <c r="AA27" s="3"/>
    </row>
    <row r="28" spans="1:28" ht="15" customHeight="1" x14ac:dyDescent="0.45">
      <c r="A28" s="3" t="s">
        <v>88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04" t="s">
        <v>89</v>
      </c>
      <c r="O28" s="104"/>
      <c r="P28" s="104"/>
      <c r="Q28" s="104"/>
      <c r="R28" s="104" t="s">
        <v>77</v>
      </c>
      <c r="S28" s="104"/>
      <c r="T28" s="3"/>
      <c r="U28" s="3"/>
      <c r="V28" s="10" t="s">
        <v>90</v>
      </c>
      <c r="W28" s="3"/>
      <c r="X28" s="3" t="s">
        <v>91</v>
      </c>
      <c r="Y28" s="3"/>
      <c r="Z28" s="3"/>
      <c r="AA28" s="3"/>
    </row>
    <row r="29" spans="1:28" ht="15" customHeight="1" x14ac:dyDescent="0.45">
      <c r="A29" s="3" t="s">
        <v>92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104" t="s">
        <v>93</v>
      </c>
      <c r="O29" s="104"/>
      <c r="P29" s="104"/>
      <c r="Q29" s="104"/>
      <c r="R29" s="104" t="s">
        <v>94</v>
      </c>
      <c r="S29" s="104"/>
      <c r="T29" s="3"/>
      <c r="U29" s="3"/>
      <c r="V29" s="10" t="s">
        <v>95</v>
      </c>
      <c r="W29" s="3"/>
      <c r="X29" s="3" t="s">
        <v>96</v>
      </c>
      <c r="Y29" s="3"/>
      <c r="Z29" s="3"/>
      <c r="AA29" s="3"/>
    </row>
  </sheetData>
  <mergeCells count="76">
    <mergeCell ref="A15:C15"/>
    <mergeCell ref="A16:C16"/>
    <mergeCell ref="A18:C18"/>
    <mergeCell ref="A19:C19"/>
    <mergeCell ref="A20:C20"/>
    <mergeCell ref="A21:C21"/>
    <mergeCell ref="A7:C7"/>
    <mergeCell ref="U7:U12"/>
    <mergeCell ref="V7:X9"/>
    <mergeCell ref="Y7:Y9"/>
    <mergeCell ref="Z7:Z9"/>
    <mergeCell ref="AA7:AA9"/>
    <mergeCell ref="A3:S3"/>
    <mergeCell ref="U3:AB3"/>
    <mergeCell ref="A5:C6"/>
    <mergeCell ref="N5:Q5"/>
    <mergeCell ref="R5:R6"/>
    <mergeCell ref="S5:S6"/>
    <mergeCell ref="U5:U6"/>
    <mergeCell ref="V5:X6"/>
    <mergeCell ref="Y5:AB5"/>
    <mergeCell ref="AB10:AB12"/>
    <mergeCell ref="A11:C11"/>
    <mergeCell ref="A12:C12"/>
    <mergeCell ref="AA10:AA12"/>
    <mergeCell ref="AB7:AB9"/>
    <mergeCell ref="A8:C8"/>
    <mergeCell ref="Y10:Y12"/>
    <mergeCell ref="Z10:Z12"/>
    <mergeCell ref="A9:C9"/>
    <mergeCell ref="A10:C10"/>
    <mergeCell ref="A13:C13"/>
    <mergeCell ref="A14:C14"/>
    <mergeCell ref="V10:X12"/>
    <mergeCell ref="Z13:Z15"/>
    <mergeCell ref="AA13:AA15"/>
    <mergeCell ref="AB13:AB15"/>
    <mergeCell ref="A17:C17"/>
    <mergeCell ref="V16:X17"/>
    <mergeCell ref="Y16:Y17"/>
    <mergeCell ref="Z16:Z17"/>
    <mergeCell ref="Z18:Z19"/>
    <mergeCell ref="AA16:AA17"/>
    <mergeCell ref="AA18:AA19"/>
    <mergeCell ref="AB18:AB19"/>
    <mergeCell ref="U20:U23"/>
    <mergeCell ref="V20:X21"/>
    <mergeCell ref="Y20:Y21"/>
    <mergeCell ref="Z20:Z21"/>
    <mergeCell ref="AA20:AA21"/>
    <mergeCell ref="AB20:AB21"/>
    <mergeCell ref="V22:X23"/>
    <mergeCell ref="Y22:Y23"/>
    <mergeCell ref="Z22:Z23"/>
    <mergeCell ref="AA22:AA23"/>
    <mergeCell ref="AB22:AB23"/>
    <mergeCell ref="AB16:AB17"/>
    <mergeCell ref="U13:U17"/>
    <mergeCell ref="V13:X15"/>
    <mergeCell ref="Y13:Y15"/>
    <mergeCell ref="U18:U19"/>
    <mergeCell ref="V18:X19"/>
    <mergeCell ref="Y18:Y19"/>
    <mergeCell ref="R27:S27"/>
    <mergeCell ref="N28:Q28"/>
    <mergeCell ref="R28:S28"/>
    <mergeCell ref="N29:Q29"/>
    <mergeCell ref="R29:S29"/>
    <mergeCell ref="R24:S24"/>
    <mergeCell ref="N25:Q25"/>
    <mergeCell ref="R25:S25"/>
    <mergeCell ref="N26:Q26"/>
    <mergeCell ref="R26:S26"/>
    <mergeCell ref="N27:Q27"/>
    <mergeCell ref="N24:Q24"/>
    <mergeCell ref="N22:Q22"/>
  </mergeCells>
  <printOptions horizontalCentered="1" verticalCentered="1" gridLines="1"/>
  <pageMargins left="0.5" right="0.5" top="0.5" bottom="0.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Department of Education;Jussan R. Roaring(jhueseen)</dc:creator>
  <cp:keywords/>
  <dc:description/>
  <cp:lastModifiedBy>RODERICK MARIANO</cp:lastModifiedBy>
  <cp:revision/>
  <cp:lastPrinted>2026-01-21T14:19:12Z</cp:lastPrinted>
  <dcterms:created xsi:type="dcterms:W3CDTF">2015-06-02T20:29:55Z</dcterms:created>
  <dcterms:modified xsi:type="dcterms:W3CDTF">2026-01-22T18:20:28Z</dcterms:modified>
  <cp:category/>
  <cp:contentStatus/>
</cp:coreProperties>
</file>