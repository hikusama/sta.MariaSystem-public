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'FRONT'!$A$3:$U$41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<sst xmlns="http://schemas.openxmlformats.org/spreadsheetml/2006/main" uniqueCount="124">
  <si>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</si>
  <si>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</si>
  <si>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</si>
  <si>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</si>
  <si>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</si>
  <si>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</si>
  <si>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</si>
  <si>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</si>
  <si>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</si>
  <si>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</si>
  <si>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</si>
  <si>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</si>
  <si>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</si>
  <si>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</si>
  <si>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</si>
  <si>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rFont val="Aparajita"/>
        <b val="false"/>
        <i val="false"/>
        <strike val="false"/>
        <color rgb="FF000000"/>
        <sz val="12"/>
        <u val="none"/>
      </rPr>
      <t xml:space="preserve">Region ___</t>
    </r>
    <r>
      <rPr>
        <rFont val="Aparajita"/>
        <b val="false"/>
        <i val="false"/>
        <strike val="false"/>
        <color rgb="FF000000"/>
        <sz val="12"/>
        <u val="single"/>
      </rPr>
      <t xml:space="preserve">IX</t>
    </r>
    <r>
      <rPr>
        <rFont val="Aparajita"/>
        <b val="false"/>
        <i val="false"/>
        <strike val="false"/>
        <color rgb="FF000000"/>
        <sz val="12"/>
        <u val="none"/>
      </rPr>
      <t xml:space="preserve">________________</t>
    </r>
  </si>
  <si>
    <t>No.  of School Days</t>
  </si>
  <si>
    <r>
      <rPr>
        <rFont val="Aparajita"/>
        <b val="false"/>
        <i val="false"/>
        <strike val="false"/>
        <color rgb="FF000000"/>
        <sz val="12"/>
        <u val="none"/>
      </rPr>
      <t xml:space="preserve">Division of __</t>
    </r>
    <r>
      <rPr>
        <rFont val="Aparajita"/>
        <b val="false"/>
        <i val="false"/>
        <strike val="false"/>
        <color rgb="FF000000"/>
        <sz val="12"/>
        <u val="single"/>
      </rPr>
      <t xml:space="preserve">Zamboanga City</t>
    </r>
    <r>
      <rPr>
        <rFont val="Aparajita"/>
        <b val="false"/>
        <i val="false"/>
        <strike val="false"/>
        <color rgb="FF000000"/>
        <sz val="12"/>
        <u val="none"/>
      </rPr>
      <t xml:space="preserve">__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</si>
  <si>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____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</t>
    </r>
    <r>
      <rPr>
        <rFont val="Calibri"/>
        <b val="false"/>
        <i val="false"/>
        <strike val="false"/>
        <color rgb="FF000000"/>
        <sz val="11"/>
        <u val="none"/>
      </rPr>
      <t xml:space="preserve">______</t>
    </r>
  </si>
  <si>
    <t>No.  of  Days Present</t>
  </si>
  <si>
    <t>District</t>
  </si>
  <si>
    <r>
      <rPr>
        <rFont val="Calibri"/>
        <b val="false"/>
        <i val="false"/>
        <strike val="false"/>
        <color rgb="FF000000"/>
        <sz val="11"/>
        <u val="none"/>
      </rPr>
      <t xml:space="preserve">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 Central School</t>
    </r>
    <r>
      <rPr>
        <rFont val="Calibri"/>
        <b val="false"/>
        <i val="false"/>
        <strike val="false"/>
        <color rgb="FF000000"/>
        <sz val="11"/>
        <u val="none"/>
      </rPr>
      <t xml:space="preserve"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</si>
  <si>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</si>
  <si>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</si>
  <si>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</si>
  <si>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</si>
  <si>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</si>
  <si>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</si>
  <si>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</si>
  <si>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</si>
  <si>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aaa a. aaa</t>
  </si>
  <si>
    <t>4th Quarter</t>
  </si>
  <si>
    <t>Learner's Reference Number:_________________________________</t>
  </si>
  <si>
    <t>134346120571</t>
  </si>
  <si>
    <t>Age:</t>
  </si>
  <si>
    <t>Sex:</t>
  </si>
  <si>
    <t>Certificate of Transfer</t>
  </si>
  <si>
    <t>Age: ______________________________    Sex: ___________________</t>
  </si>
  <si>
    <t>MALE</t>
  </si>
  <si>
    <t>Grade:</t>
  </si>
  <si>
    <t>Section</t>
  </si>
  <si>
    <t>Admitted to Grade: _________      Section: __________________________</t>
  </si>
  <si>
    <t>Grade: ___________________ Section: __________________________</t>
  </si>
  <si>
    <t>Jupiter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</si>
  <si>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</si>
  <si>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</si>
  <si>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</si>
  <si>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</si>
  <si>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</si>
  <si>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2026-2027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</si>
  <si>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</si>
  <si>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</si>
  <si>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</si>
  <si>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</si>
  <si>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</si>
  <si>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</si>
  <si>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</si>
  <si>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</si>
  <si>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</si>
  <si>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</si>
  <si>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</si>
  <si>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</si>
  <si>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</si>
  <si>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</si>
  <si>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</si>
  <si>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</si>
  <si>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</si>
  <si>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rFont val="Aparajita"/>
        <b val="true"/>
        <i val="false"/>
        <strike val="false"/>
        <color rgb="FF000000"/>
        <sz val="12"/>
        <u val="none"/>
      </rPr>
      <t xml:space="preserve">__</t>
    </r>
    <r>
      <rPr>
        <rFont val="Aparajita"/>
        <b val="true"/>
        <i val="false"/>
        <strike val="false"/>
        <color rgb="FF000000"/>
        <sz val="12"/>
        <u val="single"/>
      </rPr>
      <t xml:space="preserve">Dr. Lepidaptera T. Villanueva</t>
    </r>
    <r>
      <rPr>
        <rFont val="Aparajita"/>
        <b val="true"/>
        <i val="false"/>
        <strike val="false"/>
        <color rgb="FF000000"/>
        <sz val="12"/>
        <u val="none"/>
      </rPr>
      <t xml:space="preserve">__</t>
    </r>
  </si>
  <si>
    <t>Incent asddd Ramillano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</si>
  <si>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</si>
  <si>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</si>
  <si>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</si>
  <si>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</si>
  <si>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</si>
  <si>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</si>
  <si>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</si>
  <si>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</si>
  <si>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</si>
  <si>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</si>
  <si>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</si>
  <si>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</si>
  <si>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</si>
  <si>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</si>
  <si>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</si>
  <si>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</si>
  <si>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</si>
  <si>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>PASSED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</si>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</sst>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8"/>
      <color rgb="FF000000"/>
      <name val="Aparajita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6"/>
      <color rgb="FF000000"/>
      <name val="Aparajita"/>
    </font>
    <font>
      <b val="1"/>
      <i val="0"/>
      <strike val="0"/>
      <u val="none"/>
      <sz val="8"/>
      <color rgb="FF000000"/>
      <name val="Aparajita"/>
    </font>
    <font>
      <b val="0"/>
      <i val="0"/>
      <strike val="0"/>
      <u val="single"/>
      <sz val="11"/>
      <color rgb="FF000000"/>
      <name val="Arial"/>
    </font>
    <font>
      <b val="0"/>
      <i val="0"/>
      <strike val="0"/>
      <u val="singl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7" numFmtId="0" fillId="0" borderId="2" applyFont="1" applyNumberFormat="0" applyFill="0" applyBorder="1" applyAlignment="1">
      <alignment horizontal="right" vertical="center" textRotation="0" wrapText="false" shrinkToFit="false"/>
    </xf>
    <xf xfId="0" fontId="7" numFmtId="0" fillId="0" borderId="2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7" numFmtId="0" fillId="0" borderId="0" applyFont="1" applyNumberFormat="0" applyFill="0" applyBorder="0" applyAlignment="0" applyProtection="true"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12" numFmtId="0" fillId="0" borderId="5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5" applyFont="1" applyNumberFormat="0" applyFill="0" applyBorder="1" applyAlignment="1">
      <alignment horizontal="center" vertical="center" textRotation="9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90" wrapText="false" shrinkToFit="false"/>
    </xf>
    <xf xfId="0" fontId="15" numFmtId="0" fillId="0" borderId="6" applyFont="1" applyNumberFormat="0" applyFill="0" applyBorder="1" applyAlignment="1">
      <alignment horizontal="center" vertical="center" textRotation="90" wrapText="false" shrinkToFit="false"/>
    </xf>
    <xf xfId="0" fontId="15" numFmtId="0" fillId="0" borderId="5" applyFont="1" applyNumberFormat="0" applyFill="0" applyBorder="1" applyAlignment="1">
      <alignment horizontal="center" vertical="center" textRotation="9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distributed" textRotation="0" wrapText="true" shrinkToFit="false"/>
    </xf>
    <xf xfId="0" fontId="14" numFmtId="0" fillId="0" borderId="6" applyFont="1" applyNumberFormat="0" applyFill="0" applyBorder="1" applyAlignment="1">
      <alignment horizontal="center" vertical="distributed" textRotation="0" wrapText="true" shrinkToFit="false"/>
    </xf>
    <xf xfId="0" fontId="14" numFmtId="0" fillId="0" borderId="5" applyFont="1" applyNumberFormat="0" applyFill="0" applyBorder="1" applyAlignment="1">
      <alignment horizontal="center" vertical="distributed" textRotation="0" wrapText="tru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12" applyFont="1" applyNumberFormat="0" applyFill="0" applyBorder="1" applyAlignment="1">
      <alignment horizontal="left" vertical="top" textRotation="0" wrapText="true" shrinkToFit="false"/>
    </xf>
    <xf xfId="0" fontId="2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4" applyFont="1" applyNumberFormat="0" applyFill="0" applyBorder="1" applyAlignment="1">
      <alignment horizontal="left" vertical="top" textRotation="0" wrapText="true" shrinkToFit="false"/>
    </xf>
    <xf xfId="0" fontId="8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3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true" shrinkToFit="false"/>
    </xf>
    <xf xfId="0" fontId="7" numFmtId="0" fillId="0" borderId="5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left" vertical="bottom" textRotation="0" wrapText="false" shrinkToFit="false"/>
    </xf>
    <xf xfId="0" fontId="7" numFmtId="0" fillId="0" borderId="9" applyFont="1" applyNumberFormat="0" applyFill="0" applyBorder="1" applyAlignment="1">
      <alignment horizontal="left" vertical="bottom" textRotation="0" wrapText="false" shrinkToFit="false"/>
    </xf>
    <xf xfId="0" fontId="7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0" borderId="13" applyFont="1" applyNumberFormat="0" applyFill="0" applyBorder="1" applyAlignment="1">
      <alignment horizontal="lef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9" applyFont="1" applyNumberFormat="0" applyFill="0" applyBorder="1" applyAlignment="1">
      <alignment horizontal="left" vertical="bottom" textRotation="0" wrapText="true" shrinkToFit="false"/>
    </xf>
    <xf xfId="0" fontId="2" numFmtId="0" fillId="0" borderId="10" applyFont="1" applyNumberFormat="0" applyFill="0" applyBorder="1" applyAlignment="1">
      <alignment horizontal="left" vertical="bottom" textRotation="0" wrapText="true" shrinkToFit="false"/>
    </xf>
    <xf xfId="0" fontId="2" numFmtId="0" fillId="0" borderId="11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4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tru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7" numFmtId="0" fillId="0" borderId="5" applyFont="1" applyNumberFormat="0" applyFill="0" applyBorder="1" applyAlignment="1">
      <alignment horizontal="center" vertical="top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top" textRotation="0" wrapText="true" shrinkToFit="false"/>
    </xf>
    <xf xfId="0" fontId="17" numFmtId="0" fillId="0" borderId="6" applyFont="1" applyNumberFormat="0" applyFill="0" applyBorder="1" applyAlignment="1">
      <alignment horizontal="left" vertical="center" textRotation="0" wrapText="true" shrinkToFit="false"/>
    </xf>
    <xf xfId="0" fontId="17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2e5944b6b492bac344efc9ae171e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1905000" cy="762000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8"/>
  <sheetViews>
    <sheetView tabSelected="1" workbookViewId="0" zoomScale="140" zoomScaleSheetLayoutView="140" view="pageBreakPreview" showGridLines="false" showRowColHeaders="0">
      <selection activeCell="T28" sqref="T28"/>
    </sheetView>
  </sheetViews>
  <sheetFormatPr defaultRowHeight="14.4" defaultColWidth="9.140625" outlineLevelRow="0" outlineLevelCol="0"/>
  <cols>
    <col min="1" max="1" width="7.42578125" customWidth="true" style="0"/>
    <col min="2" max="2" width="3.8554687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10.7109375" customWidth="true" style="0"/>
    <col min="16" max="16" width="10" customWidth="true" style="0"/>
    <col min="23" max="23" width="11" customWidth="true" style="0"/>
    <col min="24" max="24" width="10.85546875" hidden="true" customWidth="true" style="0"/>
    <col min="25" max="25" width="12.28515625" hidden="true" customWidth="true" style="0"/>
    <col min="26" max="26" width="4.5703125" customWidth="true" style="0"/>
    <col min="27" max="27" width="9.140625" style="0"/>
    <col min="28" max="28" width="7.42578125" customWidth="true" style="0"/>
    <col min="29" max="29" width="12.140625" customWidth="true" style="0"/>
    <col min="30" max="30" width="10" customWidth="true" style="0"/>
    <col min="31" max="31" width="7" customWidth="true" style="0"/>
    <col min="32" max="32" width="9.28515625" customWidth="true" style="0"/>
    <col min="33" max="33" width="9" customWidth="true" style="0"/>
  </cols>
  <sheetData>
    <row r="3" spans="1:33" customHeight="1" ht="12.7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33" customHeight="1" ht="15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33" customHeight="1" ht="15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33" customHeight="1" ht="12.75" s="3" customForma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33" customHeight="1" ht="18">
      <c r="A7" s="63" t="s">
        <v>16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f>SUM(B7:L7)</f>
        <v>0</v>
      </c>
      <c r="N7" s="67"/>
      <c r="O7" s="67"/>
      <c r="P7" s="70"/>
      <c r="Q7" s="71" t="s">
        <v>17</v>
      </c>
      <c r="R7" s="60"/>
      <c r="S7" s="60"/>
      <c r="T7" s="60"/>
    </row>
    <row r="8" spans="1:33" customHeight="1" ht="11.25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33" customHeight="1" ht="3.75">
      <c r="A9" s="74" t="s">
        <v>19</v>
      </c>
      <c r="B9" s="68">
        <v>0</v>
      </c>
      <c r="C9" s="77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f>SUM(B9:L9)</f>
        <v>0</v>
      </c>
      <c r="P9" s="70"/>
      <c r="Q9" s="73"/>
      <c r="R9" s="73"/>
      <c r="S9" s="73"/>
      <c r="T9" s="73"/>
    </row>
    <row r="10" spans="1:33" customHeight="1" ht="16.5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33" customHeight="1" ht="10.5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33" customHeight="1" ht="19.5">
      <c r="A12" s="74" t="s">
        <v>22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f>SUM(B12:L12)</f>
        <v>0</v>
      </c>
      <c r="P12" s="5"/>
      <c r="Q12" s="80" t="s">
        <v>23</v>
      </c>
      <c r="R12" s="80"/>
      <c r="S12" s="80"/>
      <c r="T12" s="80"/>
    </row>
    <row r="13" spans="1:33" customHeight="1" ht="16.5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33" customHeight="1" ht="10.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33" customHeight="1" ht="11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33" customHeight="1" ht="12" s="3" customForma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33" customHeight="1" ht="15">
      <c r="P17" s="84" t="s">
        <v>25</v>
      </c>
      <c r="Q17" s="84"/>
      <c r="R17" s="84"/>
      <c r="S17" s="84"/>
      <c r="T17" s="84"/>
      <c r="U17" s="84"/>
    </row>
    <row r="18" spans="1:33" customHeight="1" ht="11.25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33" customHeight="1" ht="11.25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33" customHeight="1" ht="11.25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33" customHeight="1" ht="11.25">
      <c r="B21" s="8"/>
      <c r="K21" s="4"/>
      <c r="L21" s="4"/>
      <c r="M21" s="4"/>
      <c r="P21" s="10"/>
      <c r="Q21" s="10"/>
      <c r="R21" s="10"/>
      <c r="S21" s="10"/>
      <c r="T21" s="10"/>
    </row>
    <row r="22" spans="1:33" customHeight="1" ht="11.25" s="3" customForma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70" t="s">
        <v>30</v>
      </c>
      <c r="R22" s="13"/>
      <c r="S22" s="13"/>
      <c r="T22" s="13"/>
      <c r="U22" s="14"/>
    </row>
    <row r="23" spans="1:33" customHeight="1" ht="11.25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33" customHeight="1" ht="11.25" s="3" customFormat="1">
      <c r="B24" s="8" t="s">
        <v>31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32</v>
      </c>
      <c r="Q24" s="13"/>
      <c r="R24" s="13"/>
      <c r="S24" s="83" t="s">
        <v>33</v>
      </c>
      <c r="T24" s="13"/>
      <c r="U24" s="14"/>
      <c r="X24" s="3" t="s">
        <v>34</v>
      </c>
      <c r="Y24" s="3" t="str">
        <f>IFERROR(VLOOKUP(W13,data,8,FALSE),"not found")</f>
        <v>not found</v>
      </c>
    </row>
    <row r="25" spans="1:33" customHeight="1" ht="7.5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35</v>
      </c>
      <c r="Y25" s="3" t="str">
        <f>IFERROR(VLOOKUP(W13,data,10,FALSE),"not found")</f>
        <v>not found</v>
      </c>
    </row>
    <row r="26" spans="1:33" customHeight="1" ht="18">
      <c r="B26" s="85" t="s">
        <v>36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37</v>
      </c>
      <c r="Q26" s="169">
        <v>6</v>
      </c>
      <c r="R26" s="16"/>
      <c r="S26" s="16"/>
      <c r="T26" s="170" t="s">
        <v>38</v>
      </c>
      <c r="U26" s="16"/>
      <c r="X26" s="3" t="s">
        <v>39</v>
      </c>
      <c r="Y26" t="e">
        <f>#REF!</f>
        <v>#REF!</v>
      </c>
    </row>
    <row r="27" spans="1:33" customHeight="1" ht="12.75" s="17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40</v>
      </c>
      <c r="Y27" s="17" t="e">
        <f>#REF!</f>
        <v>#REF!</v>
      </c>
    </row>
    <row r="28" spans="1:33" customHeight="1" ht="15">
      <c r="A28" s="37" t="s">
        <v>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42</v>
      </c>
      <c r="Q28" s="169"/>
      <c r="R28" s="16"/>
      <c r="S28" s="16"/>
      <c r="T28" s="170" t="s">
        <v>43</v>
      </c>
      <c r="U28" s="16"/>
      <c r="X28" t="s">
        <v>44</v>
      </c>
      <c r="Y28" t="s">
        <v>45</v>
      </c>
    </row>
    <row r="29" spans="1:33" customHeight="1" ht="13.5" s="3" customFormat="1">
      <c r="A29" s="37" t="s">
        <v>46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47</v>
      </c>
      <c r="Y29" s="3" t="e">
        <f>#REF!</f>
        <v>#REF!</v>
      </c>
    </row>
    <row r="30" spans="1:33" customHeight="1" ht="11.25" s="3" customForma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48</v>
      </c>
      <c r="Q30" s="14"/>
      <c r="R30" s="169" t="s">
        <v>49</v>
      </c>
      <c r="S30" s="14"/>
      <c r="T30" s="14"/>
      <c r="U30" s="14"/>
      <c r="X30" s="3" t="s">
        <v>50</v>
      </c>
      <c r="Y30" s="3" t="e">
        <f>#REF!</f>
        <v>#REF!</v>
      </c>
    </row>
    <row r="31" spans="1:33" customHeight="1" ht="15" s="3" customFormat="1">
      <c r="A31" s="1" t="s">
        <v>51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33" customHeight="1" ht="18">
      <c r="A32" s="23" t="s">
        <v>52</v>
      </c>
      <c r="B32" s="23"/>
      <c r="C32" s="23"/>
      <c r="D32" s="23"/>
      <c r="E32" s="23"/>
      <c r="F32" s="23"/>
      <c r="G32" s="1"/>
      <c r="H32" s="23" t="s">
        <v>53</v>
      </c>
      <c r="I32" s="23"/>
      <c r="J32" s="23"/>
      <c r="K32" s="23"/>
      <c r="L32" s="23"/>
      <c r="M32" s="23"/>
      <c r="N32" s="23"/>
      <c r="O32" s="1"/>
      <c r="P32" s="15" t="s">
        <v>54</v>
      </c>
      <c r="Q32" s="16"/>
      <c r="R32" s="16"/>
      <c r="S32" s="16"/>
      <c r="T32" s="16"/>
      <c r="U32" s="16"/>
    </row>
    <row r="33" spans="1:33" customHeight="1" ht="18">
      <c r="A33" s="23"/>
      <c r="B33" s="87" t="s">
        <v>55</v>
      </c>
      <c r="C33" s="87"/>
      <c r="D33" s="87"/>
      <c r="E33" s="23"/>
      <c r="F33" s="23"/>
      <c r="G33" s="1"/>
      <c r="H33" s="23"/>
      <c r="I33" s="23"/>
      <c r="J33" s="87" t="s">
        <v>56</v>
      </c>
      <c r="K33" s="87"/>
      <c r="L33" s="87"/>
      <c r="M33" s="23"/>
      <c r="N33" s="23"/>
      <c r="O33" s="1"/>
      <c r="P33" s="15" t="s">
        <v>57</v>
      </c>
      <c r="Q33" s="16"/>
      <c r="R33" s="16"/>
      <c r="S33" s="16"/>
      <c r="T33" s="16"/>
      <c r="U33" s="16"/>
    </row>
    <row r="34" spans="1:33" customHeight="1" ht="14.25" hidden="true" s="3" customFormat="1">
      <c r="A34" s="88" t="s">
        <v>55</v>
      </c>
      <c r="B34" s="88"/>
      <c r="C34" s="88"/>
      <c r="D34" s="88"/>
      <c r="E34" s="88"/>
      <c r="F34" s="88"/>
      <c r="G34" s="8"/>
      <c r="H34" s="88" t="s">
        <v>56</v>
      </c>
      <c r="I34" s="88"/>
      <c r="J34" s="88"/>
      <c r="K34" s="88"/>
      <c r="L34" s="88"/>
      <c r="M34" s="88"/>
      <c r="N34" s="88"/>
      <c r="O34" s="8"/>
      <c r="P34" s="89" t="s">
        <v>58</v>
      </c>
      <c r="Q34" s="89"/>
      <c r="R34" s="14"/>
      <c r="S34" s="14"/>
      <c r="T34" s="14"/>
      <c r="U34" s="14"/>
    </row>
    <row r="35" spans="1:33" customHeight="1" ht="15" hidden="true">
      <c r="P35" s="24" t="s">
        <v>59</v>
      </c>
      <c r="Q35" s="16"/>
      <c r="R35" s="16"/>
      <c r="S35" s="16"/>
      <c r="T35" s="16"/>
      <c r="U35" s="16"/>
    </row>
    <row r="36" spans="1:33" customHeight="1" ht="1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60</v>
      </c>
      <c r="Q36" s="15"/>
      <c r="R36" s="15"/>
      <c r="S36" s="15"/>
      <c r="T36" s="15"/>
      <c r="U36" s="16"/>
    </row>
    <row r="37" spans="1:33" customHeight="1" ht="14.25" s="25" customFormat="1">
      <c r="A37" s="85" t="s">
        <v>61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62</v>
      </c>
      <c r="Q37" s="27"/>
      <c r="R37" s="27"/>
      <c r="S37" s="27"/>
      <c r="T37" s="27"/>
      <c r="U37" s="27"/>
    </row>
    <row r="38" spans="1:33" customHeight="1" ht="13.5">
      <c r="P38" s="15" t="s">
        <v>63</v>
      </c>
      <c r="Q38" s="16"/>
      <c r="R38" s="16"/>
      <c r="S38" s="16"/>
      <c r="T38" s="16"/>
      <c r="U38" s="16"/>
    </row>
    <row r="39" spans="1:33" customHeight="1" ht="15">
      <c r="A39" s="38" t="s">
        <v>64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33" customHeight="1" ht="12" s="3" customFormat="1">
      <c r="A40" s="37" t="s">
        <v>65</v>
      </c>
      <c r="B40" s="20"/>
      <c r="C40" s="20"/>
      <c r="D40" s="20"/>
      <c r="E40" s="20"/>
      <c r="F40" s="20"/>
      <c r="G40" s="20"/>
      <c r="H40" s="21" t="s">
        <v>66</v>
      </c>
      <c r="I40" s="21"/>
      <c r="J40" s="21"/>
      <c r="K40" s="21"/>
      <c r="L40" s="21"/>
      <c r="M40" s="21"/>
      <c r="N40" s="21"/>
      <c r="P40" s="90" t="s">
        <v>67</v>
      </c>
      <c r="Q40" s="83"/>
      <c r="R40" s="83"/>
      <c r="S40" s="83" t="s">
        <v>68</v>
      </c>
      <c r="T40" s="83"/>
      <c r="U40" s="83"/>
    </row>
    <row r="41" spans="1:33" customHeight="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55</v>
      </c>
      <c r="L41" s="43"/>
      <c r="M41" s="43"/>
      <c r="N41" s="43"/>
      <c r="P41" s="85" t="s">
        <v>55</v>
      </c>
      <c r="Q41" s="85"/>
      <c r="R41" s="85"/>
      <c r="S41" s="85" t="s">
        <v>56</v>
      </c>
      <c r="T41" s="85"/>
      <c r="U41" s="85"/>
    </row>
    <row r="42" spans="1:33"/>
    <row r="43" spans="1:33"/>
    <row r="44" spans="1:33"/>
    <row r="45" spans="1:33"/>
    <row r="46" spans="1:33"/>
    <row r="47" spans="1:33"/>
    <row r="48" spans="1:33"/>
  </sheetData>
  <sheetProtection selectLockedCells="1"/>
  <mergeCells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20" zoomScaleSheetLayoutView="120" view="pageBreakPreview" showGridLines="false" showRowColHeaders="0" topLeftCell="A8">
      <selection activeCell="A21" sqref="A21"/>
    </sheetView>
  </sheetViews>
  <sheetFormatPr defaultRowHeight="14.4" defaultColWidth="9.140625" outlineLevelRow="0" outlineLevelCol="0"/>
  <cols>
    <col min="1" max="1" width="8" customWidth="true" style="1"/>
    <col min="2" max="2" width="9.140625" style="1"/>
    <col min="3" max="3" width="4" customWidth="true" style="1"/>
    <col min="4" max="4" width="17.85546875" hidden="true" customWidth="true" style="1"/>
    <col min="5" max="5" width="10.85546875" hidden="true" customWidth="true" style="1"/>
    <col min="6" max="6" width="10.85546875" hidden="true" customWidth="true" style="1"/>
    <col min="7" max="7" width="10.85546875" hidden="true" customWidth="true" style="1"/>
    <col min="8" max="8" width="10.85546875" hidden="true" customWidth="true" style="1"/>
    <col min="9" max="9" width="10.85546875" hidden="true" customWidth="true" style="1"/>
    <col min="10" max="10" width="10.85546875" hidden="true" customWidth="true" style="1"/>
    <col min="11" max="11" width="10.85546875" hidden="true" customWidth="true" style="1"/>
    <col min="12" max="12" width="10.85546875" hidden="true" customWidth="true" style="1"/>
    <col min="13" max="13" width="10.85546875" hidden="true" customWidth="true" style="1"/>
    <col min="14" max="14" width="4.85546875" customWidth="true" style="1"/>
    <col min="15" max="15" width="4.85546875" customWidth="true" style="1"/>
    <col min="16" max="16" width="4.85546875" customWidth="true" style="1"/>
    <col min="17" max="17" width="4.85546875" customWidth="true" style="1"/>
    <col min="18" max="18" width="7" customWidth="true" style="1"/>
    <col min="19" max="19" width="7.42578125" customWidth="true" style="1"/>
    <col min="20" max="20" width="10.7109375" customWidth="true" style="1"/>
    <col min="21" max="21" width="11.5703125" customWidth="true" style="1"/>
    <col min="22" max="22" width="7.5703125" customWidth="true" style="1"/>
    <col min="23" max="23" width="8" customWidth="true" style="1"/>
    <col min="24" max="24" width="6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9.140625" style="1"/>
    <col min="30" max="30" width="9.140625" style="1"/>
    <col min="31" max="31" width="9.140625" style="1"/>
    <col min="32" max="32" width="9.140625" style="1"/>
    <col min="33" max="33" width="9.140625" style="1"/>
    <col min="34" max="34" width="9.140625" style="1"/>
    <col min="35" max="35" width="9.140625" style="1"/>
    <col min="36" max="36" width="9.140625" style="1"/>
    <col min="37" max="37" width="9.140625" style="1"/>
  </cols>
  <sheetData>
    <row r="3" spans="1:37" customHeight="1" ht="18" s="24" customFormat="1">
      <c r="A3" s="85" t="s">
        <v>69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70</v>
      </c>
      <c r="V3" s="85"/>
      <c r="W3" s="85"/>
      <c r="X3" s="85"/>
      <c r="Y3" s="85"/>
      <c r="Z3" s="85"/>
      <c r="AA3" s="85"/>
      <c r="AB3" s="85"/>
    </row>
    <row r="4" spans="1:37" customHeight="1" ht="18">
      <c r="S4" s="24"/>
    </row>
    <row r="5" spans="1:37" customHeight="1" ht="15">
      <c r="A5" s="107" t="s">
        <v>71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72</v>
      </c>
      <c r="O5" s="108"/>
      <c r="P5" s="108"/>
      <c r="Q5" s="109"/>
      <c r="R5" s="110" t="s">
        <v>73</v>
      </c>
      <c r="S5" s="112" t="s">
        <v>74</v>
      </c>
      <c r="U5" s="114" t="s">
        <v>75</v>
      </c>
      <c r="V5" s="108" t="s">
        <v>76</v>
      </c>
      <c r="W5" s="108"/>
      <c r="X5" s="108"/>
      <c r="Y5" s="108" t="s">
        <v>72</v>
      </c>
      <c r="Z5" s="108"/>
      <c r="AA5" s="108"/>
      <c r="AB5" s="108"/>
    </row>
    <row r="6" spans="1:37" customHeight="1" ht="21">
      <c r="A6" s="107" t="s">
        <v>71</v>
      </c>
      <c r="B6" s="107"/>
      <c r="C6" s="107"/>
      <c r="D6" s="51"/>
      <c r="E6" s="51" t="s">
        <v>77</v>
      </c>
      <c r="F6" s="51" t="s">
        <v>78</v>
      </c>
      <c r="G6" s="51" t="s">
        <v>79</v>
      </c>
      <c r="H6" s="51" t="s">
        <v>80</v>
      </c>
      <c r="I6" s="51" t="s">
        <v>81</v>
      </c>
      <c r="J6" s="51" t="s">
        <v>82</v>
      </c>
      <c r="K6" s="51" t="s">
        <v>83</v>
      </c>
      <c r="L6" s="51" t="s">
        <v>84</v>
      </c>
      <c r="M6" s="51" t="s">
        <v>85</v>
      </c>
      <c r="N6" s="30" t="s">
        <v>26</v>
      </c>
      <c r="O6" s="30" t="s">
        <v>27</v>
      </c>
      <c r="P6" s="30" t="s">
        <v>28</v>
      </c>
      <c r="Q6" s="28" t="s">
        <v>31</v>
      </c>
      <c r="R6" s="111" t="s">
        <v>73</v>
      </c>
      <c r="S6" s="113" t="s">
        <v>74</v>
      </c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37" customHeight="1" ht="17.25">
      <c r="A7" s="91"/>
      <c r="B7" s="91"/>
      <c r="C7" s="91"/>
      <c r="D7" s="50" t="str">
        <f>IF(#REF!="GRADE-7","FILIPINO7",IF(#REF!="GRADE-8","FILIPINO8",IF(#REF!="GRADE-9","FILIPINO9",IF(#REF!="GRADE-10","FILIPINO10",""))))</f>
        <v/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str">
        <f>IF(#REF!="GRADE-7","7",IF(#REF!="GRADE-8","8",IF(#REF!="GRADE-9","9",IF(#REF!="GRADE-10","10",""))))</f>
        <v/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>
        <v>90.0</v>
      </c>
      <c r="O7" s="48">
        <v>95.0</v>
      </c>
      <c r="P7" s="48">
        <v>90.0</v>
      </c>
      <c r="Q7" s="48">
        <v>90.0</v>
      </c>
      <c r="R7" s="48" t="str">
        <f>IF(A7&lt;&gt;"", AVERAGE(N7:Q7), "")</f>
        <v/>
      </c>
      <c r="S7" s="48" t="s">
        <v>86</v>
      </c>
      <c r="T7" s="29"/>
      <c r="U7" s="92" t="s">
        <v>87</v>
      </c>
      <c r="V7" s="95" t="s">
        <v>88</v>
      </c>
      <c r="W7" s="96"/>
      <c r="X7" s="97"/>
      <c r="Y7" s="104"/>
      <c r="Z7" s="104"/>
      <c r="AA7" s="104"/>
      <c r="AB7" s="104"/>
    </row>
    <row r="8" spans="1:37" customHeight="1" ht="17.25">
      <c r="A8" s="116"/>
      <c r="B8" s="116"/>
      <c r="C8" s="116"/>
      <c r="D8" s="50" t="str">
        <f>IF(#REF!="GRADE-7","ENGLISH7",IF(#REF!="GRADE-8","ENGLISH8",IF(#REF!="GRADE-9","ENGLISH9",IF(#REF!="GRADE-10","ENGLISH10",""))))</f>
        <v/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str">
        <f>IF(#REF!="GRADE-7","7",IF(#REF!="GRADE-8","8",IF(#REF!="GRADE-9","9",IF(#REF!="GRADE-10","10",""))))</f>
        <v/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>
        <v>85.0</v>
      </c>
      <c r="O8" s="48">
        <v>85.0</v>
      </c>
      <c r="P8" s="48">
        <v>85.0</v>
      </c>
      <c r="Q8" s="48">
        <v>85.0</v>
      </c>
      <c r="R8" s="48" t="str">
        <f>IF(A8&lt;&gt;"", AVERAGE(N8:Q8), "")</f>
        <v/>
      </c>
      <c r="S8" s="48" t="s">
        <v>86</v>
      </c>
      <c r="T8" s="29"/>
      <c r="U8" s="93"/>
      <c r="V8" s="98"/>
      <c r="W8" s="99"/>
      <c r="X8" s="100"/>
      <c r="Y8" s="105"/>
      <c r="Z8" s="105"/>
      <c r="AA8" s="105"/>
      <c r="AB8" s="105"/>
    </row>
    <row r="9" spans="1:37" customHeight="1" ht="8.25">
      <c r="A9" s="123"/>
      <c r="B9" s="124"/>
      <c r="C9" s="125"/>
      <c r="D9" s="117" t="str">
        <f>IF(#REF!="GRADE-7","MATHEMATICS7",IF(#REF!="GRADE-8","MATHEMATICS8",IF(#REF!="GRADE-9","MATHEMATICS9",IF(#REF!="GRADE-10","MATHEMATICS10",""))))</f>
        <v/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str">
        <f>IF(#REF!="GRADE-7","7",IF(#REF!="GRADE-8","8",IF(#REF!="GRADE-9","9",IF(#REF!="GRADE-10","10",""))))</f>
        <v/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 t="str">
        <f>IF(A9&lt;&gt;"", AVERAGE(N9:Q9), "")</f>
        <v/>
      </c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37" customHeight="1" ht="6.75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 t="str">
        <f>IF(A10&lt;&gt;"", AVERAGE(N10:Q10), "")</f>
        <v/>
      </c>
      <c r="S10" s="130"/>
      <c r="T10" s="29"/>
      <c r="U10" s="93"/>
      <c r="V10" s="131" t="s">
        <v>89</v>
      </c>
      <c r="W10" s="132"/>
      <c r="X10" s="133"/>
      <c r="Y10" s="115"/>
      <c r="Z10" s="115"/>
      <c r="AA10" s="115"/>
      <c r="AB10" s="115"/>
    </row>
    <row r="11" spans="1:37" customHeight="1" ht="17.25">
      <c r="A11" s="116"/>
      <c r="B11" s="116"/>
      <c r="C11" s="116"/>
      <c r="D11" s="50" t="str">
        <f>IF(#REF!="GRADE-7","SCIENCE7",IF(#REF!="GRADE-8","SCIENCE8",IF(#REF!="GRADE-9","SCIENCE9",IF(#REF!="GRADE-10","SCIENCE10",""))))</f>
        <v/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str">
        <f>IF(#REF!="GRADE-7","7",IF(#REF!="GRADE-8","8",IF(#REF!="GRADE-9","9",IF(#REF!="GRADE-10","10",""))))</f>
        <v/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 t="str">
        <f>IF(A11&lt;&gt;"", AVERAGE(N11:Q11), "")</f>
        <v/>
      </c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37" customHeight="1" ht="20.25">
      <c r="A12" s="116"/>
      <c r="B12" s="116"/>
      <c r="C12" s="116"/>
      <c r="D12" s="50" t="str">
        <f>IF(#REF!="GRADE-7","AP7",IF(#REF!="GRADE-8","AP8",IF(#REF!="GRADE-9","AP9",IF(#REF!="GRADE-10","AP10",""))))</f>
        <v/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str">
        <f>IF(#REF!="GRADE-7","7",IF(#REF!="GRADE-8","8",IF(#REF!="GRADE-9","9",IF(#REF!="GRADE-10","10",""))))</f>
        <v/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 t="str">
        <f>IF(A12&lt;&gt;"", AVERAGE(N12:Q12), "")</f>
        <v/>
      </c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37" customHeight="1" ht="16.5">
      <c r="A13" s="149"/>
      <c r="B13" s="149"/>
      <c r="C13" s="140"/>
      <c r="D13" s="119" t="str">
        <f>IF(#REF!="GRADE-7","ESP7",IF(#REF!="GRADE-8","ESP8",IF(#REF!="GRADE-9","ESP9",IF(#REF!="GRADE-10","ESP10",""))))</f>
        <v/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str">
        <f>IF(#REF!="GRADE-7","7",IF(#REF!="GRADE-8","8",IF(#REF!="GRADE-9","9",IF(#REF!="GRADE-10","10",""))))</f>
        <v/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 t="str">
        <f>IF(A13&lt;&gt;"", AVERAGE(N13:Q13), "")</f>
        <v/>
      </c>
      <c r="S13" s="129"/>
      <c r="U13" s="92" t="s">
        <v>90</v>
      </c>
      <c r="V13" s="155" t="s">
        <v>91</v>
      </c>
      <c r="W13" s="156"/>
      <c r="X13" s="157"/>
      <c r="Y13" s="104"/>
      <c r="Z13" s="104"/>
      <c r="AA13" s="104"/>
      <c r="AB13" s="104"/>
    </row>
    <row r="14" spans="1:37" customHeight="1" ht="20.25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 t="str">
        <f>IF(A14&lt;&gt;"", AVERAGE(N14:Q14), "")</f>
        <v/>
      </c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37" customHeight="1" ht="13.5">
      <c r="A15" s="151"/>
      <c r="B15" s="151"/>
      <c r="C15" s="151"/>
      <c r="D15" s="143" t="str">
        <f>IF(#REF!="GRADE-7","TLE7",IF(#REF!="GRADE-8","TLE8",IF(#REF!="GRADE-9","TLE9",IF(#REF!="GRADE-10","TLE10",""))))</f>
        <v/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str">
        <f>IF(#REF!="GRADE-7","7",IF(#REF!="GRADE-8","8",IF(#REF!="GRADE-9","9",IF(#REF!="GRADE-10","10",""))))</f>
        <v/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 t="str">
        <f>IF(A15&lt;&gt;"", AVERAGE(N15:Q15), "")</f>
        <v/>
      </c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37" customHeight="1" ht="2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 t="str">
        <f>IF(A16&lt;&gt;"", AVERAGE(N16:Q16), "")</f>
        <v/>
      </c>
      <c r="S16" s="130"/>
      <c r="U16" s="152"/>
      <c r="V16" s="131" t="s">
        <v>92</v>
      </c>
      <c r="W16" s="132"/>
      <c r="X16" s="133"/>
      <c r="Y16" s="115"/>
      <c r="Z16" s="115"/>
      <c r="AA16" s="115"/>
      <c r="AB16" s="115"/>
    </row>
    <row r="17" spans="1:37" customHeight="1" ht="19.5">
      <c r="A17" s="140"/>
      <c r="B17" s="141"/>
      <c r="C17" s="142"/>
      <c r="D17" s="49" t="str">
        <f>IF(#REF!="GRADE-7","MAPEH7",IF(#REF!="GRADE-8","MAPEH8",IF(#REF!="GRADE-9","MAPEH9",IF(#REF!="GRADE-10","MAPEH10",""))))</f>
        <v/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str">
        <f>IF(#REF!="GRADE-7","7",IF(#REF!="GRADE-8","8",IF(#REF!="GRADE-9","9",IF(#REF!="GRADE-10","10",""))))</f>
        <v/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 t="str">
        <f>IF(A17&lt;&gt;"", AVERAGE(N17:Q17), "")</f>
        <v/>
      </c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37" customHeight="1" ht="17.25">
      <c r="A18" s="34"/>
      <c r="B18" s="164"/>
      <c r="C18" s="165"/>
      <c r="D18" s="47" t="str">
        <f>IF(#REF!="GRADE-7","MUSIC7",IF(#REF!="GRADE-8","MUSIC8",IF(#REF!="GRADE-9","MUSIC9",IF(#REF!="GRADE-10","MUSIC10",""))))</f>
        <v/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str">
        <f>IF(#REF!="GRADE-7","7",IF(#REF!="GRADE-8","8",IF(#REF!="GRADE-9","9",IF(#REF!="GRADE-10","10",""))))</f>
        <v/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 t="str">
        <f>IF(A18&lt;&gt;"", AVERAGE(N18:Q18), "")</f>
        <v/>
      </c>
      <c r="S18" s="42"/>
      <c r="U18" s="92" t="s">
        <v>93</v>
      </c>
      <c r="V18" s="131" t="s">
        <v>94</v>
      </c>
      <c r="W18" s="132"/>
      <c r="X18" s="133"/>
      <c r="Y18" s="115"/>
      <c r="Z18" s="115"/>
      <c r="AA18" s="115"/>
      <c r="AB18" s="115"/>
    </row>
    <row r="19" spans="1:37" customHeight="1" ht="27">
      <c r="A19" s="34"/>
      <c r="B19" s="164"/>
      <c r="C19" s="165"/>
      <c r="D19" s="47" t="str">
        <f>IF(#REF!="GRADE-7","ARTS7",IF(#REF!="GRADE-8","ARTS8",IF(#REF!="GRADE-9","ARTS9",IF(#REF!="GRADE-10","ARTS10",""))))</f>
        <v/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str">
        <f>IF(#REF!="GRADE-7","7",IF(#REF!="GRADE-8","8",IF(#REF!="GRADE-9","9",IF(#REF!="GRADE-10","10",""))))</f>
        <v/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 t="str">
        <f>IF(A19&lt;&gt;"", AVERAGE(N19:Q19), "")</f>
        <v/>
      </c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37" customHeight="1" ht="17.25">
      <c r="A20" s="35"/>
      <c r="B20" s="166"/>
      <c r="C20" s="167"/>
      <c r="D20" s="36" t="str">
        <f>IF(#REF!="GRADE-7","PE7",IF(#REF!="GRADE-8","PE8",IF(#REF!="GRADE-9","PE9",IF(#REF!="GRADE-10","PE10",""))))</f>
        <v/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str">
        <f>IF(#REF!="GRADE-7","7",IF(#REF!="GRADE-8","8",IF(#REF!="GRADE-9","9",IF(#REF!="GRADE-10","10",""))))</f>
        <v/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 t="str">
        <f>IF(A20&lt;&gt;"", AVERAGE(N20:Q20), "")</f>
        <v/>
      </c>
      <c r="S20" s="42"/>
      <c r="U20" s="92" t="s">
        <v>95</v>
      </c>
      <c r="V20" s="131" t="s">
        <v>96</v>
      </c>
      <c r="W20" s="132"/>
      <c r="X20" s="133"/>
      <c r="Y20" s="115"/>
      <c r="Z20" s="115"/>
      <c r="AA20" s="115"/>
      <c r="AB20" s="115"/>
    </row>
    <row r="21" spans="1:37" customHeight="1" ht="28.5">
      <c r="A21" s="35"/>
      <c r="B21" s="164"/>
      <c r="C21" s="165"/>
      <c r="D21" s="47" t="str">
        <f>IF(#REF!="GRADE-7","HEALTH7",IF(#REF!="GRADE-8","HEALTH8",IF(#REF!="GRADE-9","HEALTH9",IF(#REF!="GRADE-10","HEALTH10",""))))</f>
        <v/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str">
        <f>IF(#REF!="GRADE-7","7",IF(#REF!="GRADE-8","8",IF(#REF!="GRADE-9","9",IF(#REF!="GRADE-10","10",""))))</f>
        <v/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 t="str">
        <f>IF(A21&lt;&gt;"", AVERAGE(N21:Q21), "")</f>
        <v/>
      </c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37">
      <c r="D22" s="1" t="str">
        <f>IF(#REF!="GRADE-7","GEN7",IF(#REF!="GRADE-8","GEN8",IF(#REF!="GRADE-9","GEN9",IF(#REF!="GRADE-10","GEN10",""))))</f>
        <v/>
      </c>
      <c r="N22" s="168" t="s">
        <v>97</v>
      </c>
      <c r="O22" s="168"/>
      <c r="P22" s="168"/>
      <c r="Q22" s="168" t="s">
        <v>98</v>
      </c>
      <c r="R22" s="39" t="str">
        <f>IFERROR(AVERAGEIF(A7:A21,"&lt;&gt;",R7:R21),"")</f>
        <v/>
      </c>
      <c r="U22" s="152"/>
      <c r="V22" s="131" t="s">
        <v>99</v>
      </c>
      <c r="W22" s="132"/>
      <c r="X22" s="133"/>
      <c r="Y22" s="154"/>
      <c r="Z22" s="154"/>
      <c r="AA22" s="154"/>
      <c r="AB22" s="154"/>
    </row>
    <row r="23" spans="1:37" customHeight="1" ht="27">
      <c r="U23" s="153"/>
      <c r="V23" s="137"/>
      <c r="W23" s="138"/>
      <c r="X23" s="139"/>
      <c r="Y23" s="154"/>
      <c r="Z23" s="154"/>
      <c r="AA23" s="154"/>
      <c r="AB23" s="154"/>
    </row>
    <row r="24" spans="1:37" customHeight="1" ht="15">
      <c r="A24" s="15" t="s">
        <v>100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101</v>
      </c>
      <c r="O24" s="85"/>
      <c r="P24" s="85"/>
      <c r="Q24" s="85"/>
      <c r="R24" s="85" t="s">
        <v>74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37" customHeight="1" ht="15">
      <c r="A25" s="24" t="s">
        <v>102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103</v>
      </c>
      <c r="O25" s="60"/>
      <c r="P25" s="60"/>
      <c r="Q25" s="60"/>
      <c r="R25" s="60" t="s">
        <v>104</v>
      </c>
      <c r="S25" s="60"/>
      <c r="T25" s="24"/>
      <c r="U25" s="24"/>
      <c r="V25" s="15" t="s">
        <v>105</v>
      </c>
      <c r="W25" s="24"/>
      <c r="X25" s="15" t="s">
        <v>106</v>
      </c>
      <c r="Y25" s="24"/>
      <c r="Z25" s="24"/>
      <c r="AA25" s="24"/>
    </row>
    <row r="26" spans="1:37" customHeight="1" ht="15">
      <c r="A26" s="24" t="s">
        <v>107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108</v>
      </c>
      <c r="O26" s="60"/>
      <c r="P26" s="60"/>
      <c r="Q26" s="60"/>
      <c r="R26" s="60" t="s">
        <v>104</v>
      </c>
      <c r="S26" s="60"/>
      <c r="T26" s="24"/>
      <c r="U26" s="24"/>
      <c r="V26" s="46" t="s">
        <v>109</v>
      </c>
      <c r="W26" s="24"/>
      <c r="X26" s="24" t="s">
        <v>110</v>
      </c>
      <c r="Y26" s="24"/>
      <c r="Z26" s="24"/>
      <c r="AA26" s="24"/>
    </row>
    <row r="27" spans="1:37" customHeight="1" ht="15">
      <c r="A27" s="24" t="s">
        <v>111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112</v>
      </c>
      <c r="O27" s="60"/>
      <c r="P27" s="60"/>
      <c r="Q27" s="60"/>
      <c r="R27" s="60" t="s">
        <v>104</v>
      </c>
      <c r="S27" s="60"/>
      <c r="T27" s="24"/>
      <c r="U27" s="24"/>
      <c r="V27" s="46" t="s">
        <v>113</v>
      </c>
      <c r="W27" s="24"/>
      <c r="X27" s="24" t="s">
        <v>114</v>
      </c>
      <c r="Y27" s="24"/>
      <c r="Z27" s="24"/>
      <c r="AA27" s="24"/>
    </row>
    <row r="28" spans="1:37" customHeight="1" ht="15">
      <c r="A28" s="24" t="s">
        <v>115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116</v>
      </c>
      <c r="O28" s="60"/>
      <c r="P28" s="60"/>
      <c r="Q28" s="60"/>
      <c r="R28" s="60" t="s">
        <v>104</v>
      </c>
      <c r="S28" s="60"/>
      <c r="T28" s="24"/>
      <c r="U28" s="24"/>
      <c r="V28" s="46" t="s">
        <v>117</v>
      </c>
      <c r="W28" s="24"/>
      <c r="X28" s="24" t="s">
        <v>118</v>
      </c>
      <c r="Y28" s="24"/>
      <c r="Z28" s="24"/>
      <c r="AA28" s="24"/>
    </row>
    <row r="29" spans="1:37" customHeight="1" ht="15">
      <c r="A29" s="24" t="s">
        <v>119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120</v>
      </c>
      <c r="O29" s="60"/>
      <c r="P29" s="60"/>
      <c r="Q29" s="60"/>
      <c r="R29" s="60" t="s">
        <v>121</v>
      </c>
      <c r="S29" s="60"/>
      <c r="T29" s="24"/>
      <c r="U29" s="24"/>
      <c r="V29" s="46" t="s">
        <v>122</v>
      </c>
      <c r="W29" s="24"/>
      <c r="X29" s="24" t="s">
        <v>123</v>
      </c>
      <c r="Y29" s="24"/>
      <c r="Z29" s="24"/>
      <c r="AA29" s="24"/>
    </row>
  </sheetData>
  <mergeCells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/>
  <dcterms:created xsi:type="dcterms:W3CDTF">2015-06-02T22:29:55+02:00</dcterms:created>
  <dcterms:modified xsi:type="dcterms:W3CDTF">2025-10-01T11:10:29+02:00</dcterms:modified>
  <dc:title/>
  <dc:description/>
  <dc:subject/>
  <cp:keywords/>
  <cp:category/>
</cp:coreProperties>
</file>