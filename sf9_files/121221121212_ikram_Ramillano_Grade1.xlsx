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<sst xmlns="http://schemas.openxmlformats.org/spreadsheetml/2006/main" uniqueCount="125">
  <si>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</si>
  <si>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</si>
  <si>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</si>
  <si>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</si>
  <si>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</si>
  <si>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</si>
  <si>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</si>
  <si>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</si>
  <si>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</si>
  <si>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</si>
  <si>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</si>
  <si>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</si>
  <si>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</si>
  <si>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</si>
  <si>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</si>
  <si>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</si>
  <si>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</si>
  <si>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</si>
  <si>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</si>
  <si>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</si>
  <si>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</si>
  <si>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</si>
  <si>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</si>
  <si>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</si>
  <si>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</si>
  <si>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</si>
  <si>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</si>
  <si>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</si>
  <si>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</si>
  <si>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</si>
  <si>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ikram h. Ramillano</t>
  </si>
  <si>
    <t>4th Quarter</t>
  </si>
  <si>
    <t>Learner's Reference Number:_________________________________</t>
  </si>
  <si>
    <t>121221121212</t>
  </si>
  <si>
    <t>Age:</t>
  </si>
  <si>
    <t>Sex:</t>
  </si>
  <si>
    <t>Certificate of Transfer</t>
  </si>
  <si>
    <t>Age: ______________________________    Sex: ___________________</t>
  </si>
  <si>
    <t>Grade:</t>
  </si>
  <si>
    <t>Section</t>
  </si>
  <si>
    <t>Admitted to Grade: _________      Section: __________________________</t>
  </si>
  <si>
    <t>Grade: ___________________ Section: __________________________</t>
  </si>
  <si>
    <t>Grade 1</t>
  </si>
  <si>
    <t>Jupiter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</si>
  <si>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</si>
  <si>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</si>
  <si>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</si>
  <si>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</si>
  <si>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</si>
  <si>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2024-2025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</si>
  <si>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</si>
  <si>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</si>
  <si>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</si>
  <si>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</si>
  <si>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</si>
  <si>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</si>
  <si>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</si>
  <si>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</si>
  <si>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>Mathematics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</si>
  <si>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</si>
  <si>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</si>
  <si>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</si>
  <si>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</si>
  <si>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</si>
  <si>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</si>
  <si>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</si>
  <si>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</si>
  <si>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</si>
  <si>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</si>
  <si>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Incent hehe Ramillano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</si>
  <si>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</si>
  <si>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</si>
  <si>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</si>
  <si>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</si>
  <si>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</si>
  <si>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</si>
  <si>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</si>
  <si>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</si>
  <si>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</si>
  <si>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</si>
  <si>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</si>
  <si>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</si>
  <si>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</si>
  <si>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</si>
  <si>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</si>
  <si>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</si>
  <si>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</si>
  <si>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>FAILED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</si>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</sst>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2e5944b6b492bac344efc9ae171ed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905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8"/>
  <sheetViews>
    <sheetView tabSelected="1" workbookViewId="0" zoomScale="140" zoomScaleSheetLayoutView="140" view="pageBreakPreview" showGridLines="false" showRowColHeaders="0">
      <selection activeCell="T28" sqref="T28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2</v>
      </c>
      <c r="I7" s="52">
        <v>0</v>
      </c>
      <c r="J7" s="52">
        <v>0</v>
      </c>
      <c r="K7" s="52">
        <v>0</v>
      </c>
      <c r="L7" s="52">
        <v>0</v>
      </c>
      <c r="M7" s="52">
        <f>SUM(B7:L7)</f>
        <v>2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>
        <v>0</v>
      </c>
      <c r="C9" s="77">
        <v>0</v>
      </c>
      <c r="D9" s="68">
        <v>0</v>
      </c>
      <c r="E9" s="68">
        <v>0</v>
      </c>
      <c r="F9" s="68">
        <v>0</v>
      </c>
      <c r="G9" s="68">
        <v>0</v>
      </c>
      <c r="H9" s="68">
        <v>2</v>
      </c>
      <c r="I9" s="68">
        <v>0</v>
      </c>
      <c r="J9" s="68">
        <v>0</v>
      </c>
      <c r="K9" s="68">
        <v>0</v>
      </c>
      <c r="L9" s="68">
        <v>0</v>
      </c>
      <c r="M9" s="68">
        <f>SUM(B9:L9)</f>
        <v>2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f>SUM(B12:L12)</f>
        <v>0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70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69">
        <v>6</v>
      </c>
      <c r="R26" s="16"/>
      <c r="S26" s="16"/>
      <c r="T26" s="170"/>
      <c r="U26" s="16"/>
      <c r="X26" s="3" t="s">
        <v>38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39</v>
      </c>
      <c r="Y27" s="17" t="e">
        <f>#REF!</f>
        <v>#REF!</v>
      </c>
    </row>
    <row r="28" spans="1:33" customHeight="1" ht="15">
      <c r="A28" s="37" t="s">
        <v>40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41</v>
      </c>
      <c r="Q28" s="169" t="s">
        <v>42</v>
      </c>
      <c r="R28" s="16"/>
      <c r="S28" s="16"/>
      <c r="T28" s="170" t="s">
        <v>43</v>
      </c>
      <c r="U28" s="16"/>
      <c r="X28" t="s">
        <v>44</v>
      </c>
      <c r="Y28" t="s">
        <v>45</v>
      </c>
    </row>
    <row r="29" spans="1:33" customHeight="1" ht="13.5" s="3" customFormat="1">
      <c r="A29" s="37" t="s">
        <v>46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47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48</v>
      </c>
      <c r="Q30" s="14"/>
      <c r="R30" s="169" t="s">
        <v>49</v>
      </c>
      <c r="S30" s="14"/>
      <c r="T30" s="14"/>
      <c r="U30" s="14"/>
      <c r="X30" s="3" t="s">
        <v>50</v>
      </c>
      <c r="Y30" s="3" t="e">
        <f>#REF!</f>
        <v>#REF!</v>
      </c>
    </row>
    <row r="31" spans="1:33" customHeight="1" ht="15" s="3" customFormat="1">
      <c r="A31" s="1" t="s">
        <v>51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52</v>
      </c>
      <c r="B32" s="23"/>
      <c r="C32" s="23"/>
      <c r="D32" s="23"/>
      <c r="E32" s="23"/>
      <c r="F32" s="23"/>
      <c r="G32" s="1"/>
      <c r="H32" s="23" t="s">
        <v>53</v>
      </c>
      <c r="I32" s="23"/>
      <c r="J32" s="23"/>
      <c r="K32" s="23"/>
      <c r="L32" s="23"/>
      <c r="M32" s="23"/>
      <c r="N32" s="23"/>
      <c r="O32" s="1"/>
      <c r="P32" s="15" t="s">
        <v>54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55</v>
      </c>
      <c r="C33" s="87"/>
      <c r="D33" s="87"/>
      <c r="E33" s="23"/>
      <c r="F33" s="23"/>
      <c r="G33" s="1"/>
      <c r="H33" s="23"/>
      <c r="I33" s="23"/>
      <c r="J33" s="87" t="s">
        <v>56</v>
      </c>
      <c r="K33" s="87"/>
      <c r="L33" s="87"/>
      <c r="M33" s="23"/>
      <c r="N33" s="23"/>
      <c r="O33" s="1"/>
      <c r="P33" s="15" t="s">
        <v>57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55</v>
      </c>
      <c r="B34" s="88" t="s">
        <v>58</v>
      </c>
      <c r="C34" s="88"/>
      <c r="D34" s="88"/>
      <c r="E34" s="88"/>
      <c r="F34" s="88"/>
      <c r="G34" s="8"/>
      <c r="H34" s="88" t="s">
        <v>56</v>
      </c>
      <c r="I34" s="88"/>
      <c r="J34" s="88"/>
      <c r="K34" s="88"/>
      <c r="L34" s="88"/>
      <c r="M34" s="88"/>
      <c r="N34" s="88"/>
      <c r="O34" s="8"/>
      <c r="P34" s="89" t="s">
        <v>59</v>
      </c>
      <c r="Q34" s="89"/>
      <c r="R34" s="14"/>
      <c r="S34" s="14"/>
      <c r="T34" s="14"/>
      <c r="U34" s="14"/>
    </row>
    <row r="35" spans="1:33" customHeight="1" ht="15" hidden="true">
      <c r="P35" s="24" t="s">
        <v>60</v>
      </c>
      <c r="Q35" s="16"/>
      <c r="R35" s="16"/>
      <c r="S35" s="16"/>
      <c r="T35" s="16"/>
      <c r="U35" s="16"/>
    </row>
    <row r="36" spans="1:33" customHeight="1" ht="1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61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62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63</v>
      </c>
      <c r="Q37" s="27"/>
      <c r="R37" s="27"/>
      <c r="S37" s="27"/>
      <c r="T37" s="27"/>
      <c r="U37" s="27"/>
    </row>
    <row r="38" spans="1:33" customHeight="1" ht="13.5">
      <c r="P38" s="15" t="s">
        <v>64</v>
      </c>
      <c r="Q38" s="16"/>
      <c r="R38" s="16"/>
      <c r="S38" s="16"/>
      <c r="T38" s="16"/>
      <c r="U38" s="16"/>
    </row>
    <row r="39" spans="1:33" customHeight="1" ht="15">
      <c r="A39" s="38" t="s">
        <v>65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66</v>
      </c>
      <c r="B40" s="20"/>
      <c r="C40" s="20"/>
      <c r="D40" s="20"/>
      <c r="E40" s="20"/>
      <c r="F40" s="20"/>
      <c r="G40" s="20"/>
      <c r="H40" s="21" t="s">
        <v>67</v>
      </c>
      <c r="I40" s="21"/>
      <c r="J40" s="21"/>
      <c r="K40" s="21"/>
      <c r="L40" s="21"/>
      <c r="M40" s="21"/>
      <c r="N40" s="21"/>
      <c r="P40" s="90" t="s">
        <v>68</v>
      </c>
      <c r="Q40" s="83"/>
      <c r="R40" s="83"/>
      <c r="S40" s="83" t="s">
        <v>69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55</v>
      </c>
      <c r="L41" s="43"/>
      <c r="M41" s="43"/>
      <c r="N41" s="43"/>
      <c r="P41" s="85" t="s">
        <v>55</v>
      </c>
      <c r="Q41" s="85"/>
      <c r="R41" s="85"/>
      <c r="S41" s="85" t="s">
        <v>56</v>
      </c>
      <c r="T41" s="85"/>
      <c r="U41" s="85"/>
    </row>
    <row r="42" spans="1:33"/>
    <row r="43" spans="1:33"/>
    <row r="44" spans="1:33"/>
    <row r="45" spans="1:33"/>
    <row r="46" spans="1:33"/>
    <row r="47" spans="1:33"/>
    <row r="48" spans="1:33"/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70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71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72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73</v>
      </c>
      <c r="O5" s="108"/>
      <c r="P5" s="108"/>
      <c r="Q5" s="109"/>
      <c r="R5" s="110" t="s">
        <v>74</v>
      </c>
      <c r="S5" s="112" t="s">
        <v>75</v>
      </c>
      <c r="U5" s="114" t="s">
        <v>76</v>
      </c>
      <c r="V5" s="108" t="s">
        <v>77</v>
      </c>
      <c r="W5" s="108"/>
      <c r="X5" s="108"/>
      <c r="Y5" s="108" t="s">
        <v>73</v>
      </c>
      <c r="Z5" s="108"/>
      <c r="AA5" s="108"/>
      <c r="AB5" s="108"/>
    </row>
    <row r="6" spans="1:37" customHeight="1" ht="21">
      <c r="A6" s="107" t="s">
        <v>72</v>
      </c>
      <c r="B6" s="107"/>
      <c r="C6" s="107"/>
      <c r="D6" s="51"/>
      <c r="E6" s="51" t="s">
        <v>78</v>
      </c>
      <c r="F6" s="51" t="s">
        <v>79</v>
      </c>
      <c r="G6" s="51" t="s">
        <v>80</v>
      </c>
      <c r="H6" s="51" t="s">
        <v>81</v>
      </c>
      <c r="I6" s="51" t="s">
        <v>82</v>
      </c>
      <c r="J6" s="51" t="s">
        <v>83</v>
      </c>
      <c r="K6" s="51" t="s">
        <v>84</v>
      </c>
      <c r="L6" s="51" t="s">
        <v>85</v>
      </c>
      <c r="M6" s="51" t="s">
        <v>86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74</v>
      </c>
      <c r="S6" s="113" t="s">
        <v>75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 t="s">
        <v>58</v>
      </c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>
        <v>60</v>
      </c>
      <c r="O7" s="48">
        <v>60</v>
      </c>
      <c r="P7" s="48">
        <v>60</v>
      </c>
      <c r="Q7" s="48">
        <v>68</v>
      </c>
      <c r="R7" s="48">
        <f>IF(A7&lt;&gt;"", AVERAGE(N7:Q7), "")</f>
        <v>62</v>
      </c>
      <c r="S7" s="48" t="s">
        <v>87</v>
      </c>
      <c r="T7" s="29"/>
      <c r="U7" s="92" t="s">
        <v>88</v>
      </c>
      <c r="V7" s="95" t="s">
        <v>89</v>
      </c>
      <c r="W7" s="96"/>
      <c r="X7" s="97"/>
      <c r="Y7" s="104"/>
      <c r="Z7" s="104"/>
      <c r="AA7" s="104"/>
      <c r="AB7" s="104"/>
    </row>
    <row r="8" spans="1:37" customHeight="1" ht="17.25">
      <c r="A8" s="116"/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/>
      <c r="O8" s="48"/>
      <c r="P8" s="48"/>
      <c r="Q8" s="48"/>
      <c r="R8" s="48" t="str">
        <f>IF(A8&lt;&gt;"", AVERAGE(N8:Q8), "")</f>
        <v/>
      </c>
      <c r="S8" s="48"/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/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str">
        <f>IF(A9&lt;&gt;"", AVERAGE(N9:Q9), "")</f>
        <v/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90</v>
      </c>
      <c r="W10" s="132"/>
      <c r="X10" s="133"/>
      <c r="Y10" s="115"/>
      <c r="Z10" s="115"/>
      <c r="AA10" s="115"/>
      <c r="AB10" s="115"/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91</v>
      </c>
      <c r="V13" s="155" t="s">
        <v>92</v>
      </c>
      <c r="W13" s="156"/>
      <c r="X13" s="157"/>
      <c r="Y13" s="104"/>
      <c r="Z13" s="104"/>
      <c r="AA13" s="104"/>
      <c r="AB13" s="104"/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93</v>
      </c>
      <c r="W16" s="132"/>
      <c r="X16" s="133"/>
      <c r="Y16" s="115"/>
      <c r="Z16" s="115"/>
      <c r="AA16" s="115"/>
      <c r="AB16" s="115"/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94</v>
      </c>
      <c r="V18" s="131" t="s">
        <v>95</v>
      </c>
      <c r="W18" s="132"/>
      <c r="X18" s="133"/>
      <c r="Y18" s="115"/>
      <c r="Z18" s="115"/>
      <c r="AA18" s="115"/>
      <c r="AB18" s="115"/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96</v>
      </c>
      <c r="V20" s="131" t="s">
        <v>97</v>
      </c>
      <c r="W20" s="132"/>
      <c r="X20" s="133"/>
      <c r="Y20" s="115"/>
      <c r="Z20" s="115"/>
      <c r="AA20" s="115"/>
      <c r="AB20" s="115"/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98</v>
      </c>
      <c r="O22" s="168"/>
      <c r="P22" s="168"/>
      <c r="Q22" s="168" t="s">
        <v>99</v>
      </c>
      <c r="R22" s="39">
        <f>IFERROR(AVERAGEIF(A7:A21,"&lt;&gt;",R7:R21),"")</f>
        <v>62</v>
      </c>
      <c r="U22" s="152"/>
      <c r="V22" s="131" t="s">
        <v>100</v>
      </c>
      <c r="W22" s="132"/>
      <c r="X22" s="133"/>
      <c r="Y22" s="154"/>
      <c r="Z22" s="154"/>
      <c r="AA22" s="154"/>
      <c r="AB22" s="154"/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102</v>
      </c>
      <c r="O24" s="85"/>
      <c r="P24" s="85"/>
      <c r="Q24" s="85"/>
      <c r="R24" s="85" t="s">
        <v>75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104</v>
      </c>
      <c r="O25" s="60"/>
      <c r="P25" s="60"/>
      <c r="Q25" s="60"/>
      <c r="R25" s="60" t="s">
        <v>105</v>
      </c>
      <c r="S25" s="60"/>
      <c r="T25" s="24"/>
      <c r="U25" s="24"/>
      <c r="V25" s="15" t="s">
        <v>106</v>
      </c>
      <c r="W25" s="24"/>
      <c r="X25" s="15" t="s">
        <v>107</v>
      </c>
      <c r="Y25" s="24"/>
      <c r="Z25" s="24"/>
      <c r="AA25" s="24"/>
    </row>
    <row r="26" spans="1:37" customHeight="1" ht="15">
      <c r="A26" s="24" t="s">
        <v>108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109</v>
      </c>
      <c r="O26" s="60"/>
      <c r="P26" s="60"/>
      <c r="Q26" s="60"/>
      <c r="R26" s="60" t="s">
        <v>105</v>
      </c>
      <c r="S26" s="60"/>
      <c r="T26" s="24"/>
      <c r="U26" s="24"/>
      <c r="V26" s="46" t="s">
        <v>110</v>
      </c>
      <c r="W26" s="24"/>
      <c r="X26" s="24" t="s">
        <v>111</v>
      </c>
      <c r="Y26" s="24"/>
      <c r="Z26" s="24"/>
      <c r="AA26" s="24"/>
    </row>
    <row r="27" spans="1:37" customHeight="1" ht="15">
      <c r="A27" s="24" t="s">
        <v>112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113</v>
      </c>
      <c r="O27" s="60"/>
      <c r="P27" s="60"/>
      <c r="Q27" s="60"/>
      <c r="R27" s="60" t="s">
        <v>105</v>
      </c>
      <c r="S27" s="60"/>
      <c r="T27" s="24"/>
      <c r="U27" s="24"/>
      <c r="V27" s="46" t="s">
        <v>114</v>
      </c>
      <c r="W27" s="24"/>
      <c r="X27" s="24" t="s">
        <v>115</v>
      </c>
      <c r="Y27" s="24"/>
      <c r="Z27" s="24"/>
      <c r="AA27" s="24"/>
    </row>
    <row r="28" spans="1:37" customHeight="1" ht="15">
      <c r="A28" s="24" t="s">
        <v>116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117</v>
      </c>
      <c r="O28" s="60"/>
      <c r="P28" s="60"/>
      <c r="Q28" s="60"/>
      <c r="R28" s="60" t="s">
        <v>105</v>
      </c>
      <c r="S28" s="60"/>
      <c r="T28" s="24"/>
      <c r="U28" s="24"/>
      <c r="V28" s="46" t="s">
        <v>118</v>
      </c>
      <c r="W28" s="24"/>
      <c r="X28" s="24" t="s">
        <v>119</v>
      </c>
      <c r="Y28" s="24"/>
      <c r="Z28" s="24"/>
      <c r="AA28" s="24"/>
    </row>
    <row r="29" spans="1:37" customHeight="1" ht="15">
      <c r="A29" s="24" t="s">
        <v>120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121</v>
      </c>
      <c r="O29" s="60"/>
      <c r="P29" s="60"/>
      <c r="Q29" s="60"/>
      <c r="R29" s="60" t="s">
        <v>122</v>
      </c>
      <c r="S29" s="60"/>
      <c r="T29" s="24"/>
      <c r="U29" s="24"/>
      <c r="V29" s="46" t="s">
        <v>123</v>
      </c>
      <c r="W29" s="24"/>
      <c r="X29" s="24" t="s">
        <v>124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